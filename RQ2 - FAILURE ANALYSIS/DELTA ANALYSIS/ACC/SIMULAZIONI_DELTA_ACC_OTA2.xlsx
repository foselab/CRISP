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ANALISI FAILURE\analisi GAP\ACC\"/>
    </mc:Choice>
  </mc:AlternateContent>
  <xr:revisionPtr revIDLastSave="0" documentId="13_ncr:1_{E22FA4AF-E350-4777-B06E-9424E8A6D46C}" xr6:coauthVersionLast="47" xr6:coauthVersionMax="47" xr10:uidLastSave="{00000000-0000-0000-0000-000000000000}"/>
  <bookViews>
    <workbookView xWindow="-110" yWindow="-110" windowWidth="21820" windowHeight="13900" xr2:uid="{0DF8C3E9-6D10-4BE0-A36B-5EC249A8170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J3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2" i="1"/>
</calcChain>
</file>

<file path=xl/sharedStrings.xml><?xml version="1.0" encoding="utf-8"?>
<sst xmlns="http://schemas.openxmlformats.org/spreadsheetml/2006/main" count="275" uniqueCount="35">
  <si>
    <t xml:space="preserve">Scenario </t>
  </si>
  <si>
    <t>Vehicle</t>
  </si>
  <si>
    <t>A15_LaSpezia_Parma</t>
  </si>
  <si>
    <t>A26_Autostrada_Trafori</t>
  </si>
  <si>
    <t>A4_Bergamo</t>
  </si>
  <si>
    <t>A8_Stoccarda_Monaco</t>
  </si>
  <si>
    <t>ACC_01_ISO_TargetDiscriminationTest</t>
  </si>
  <si>
    <t>ACC_02_ISO_AutoRetargetTest</t>
  </si>
  <si>
    <t>Anaconda</t>
  </si>
  <si>
    <t>curvaLunga</t>
  </si>
  <si>
    <t>FrenataBrusca</t>
  </si>
  <si>
    <t>Highway_double_target</t>
  </si>
  <si>
    <t>Las_Vegas_Freeway</t>
  </si>
  <si>
    <t>LFACC_01_DoubleCurve_DecelTarget</t>
  </si>
  <si>
    <t>LFACC_02_DoubleCurve_AutoRetarget</t>
  </si>
  <si>
    <t>LFACC_04_Curve_CutInOut</t>
  </si>
  <si>
    <t>Overseas_Hwy</t>
  </si>
  <si>
    <t>Pacific_Coast_Highway</t>
  </si>
  <si>
    <t>Queen_Elizabeth_Way_Oakville</t>
  </si>
  <si>
    <t>Sea_Sky_Hwy</t>
  </si>
  <si>
    <t>Trans_Canada_Hwy</t>
  </si>
  <si>
    <t>Malibu.m</t>
  </si>
  <si>
    <t>Panda.m</t>
  </si>
  <si>
    <t>Camaro.m</t>
  </si>
  <si>
    <t>Colorado.m</t>
  </si>
  <si>
    <t>A4.m</t>
  </si>
  <si>
    <t>Polo.m</t>
  </si>
  <si>
    <t>Tcross</t>
  </si>
  <si>
    <t>DELTA</t>
  </si>
  <si>
    <t>FITNESS</t>
  </si>
  <si>
    <t>FAILURE</t>
  </si>
  <si>
    <t>FAILURE TECNICA DELTA</t>
  </si>
  <si>
    <t xml:space="preserve">TEMPO SIMULAZIONE </t>
  </si>
  <si>
    <t>TEMPO EFFETTIVO SIMULAZIONE</t>
  </si>
  <si>
    <t>SOMME REALI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</si>
</sst>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B433-9C76-475E-BAF8-AD05EF560801}">
  <dimension ref="A1:K134"/>
  <sheetViews>
    <sheetView tabSelected="1" workbookViewId="0">
      <selection activeCell="K7" sqref="K7"/>
    </sheetView>
  </sheetViews>
  <sheetFormatPr defaultRowHeight="14.5" x14ac:dyDescent="0.35"/>
  <cols>
    <col min="1" max="1" width="32.54296875" bestFit="1" customWidth="1"/>
    <col min="2" max="2" width="10.26953125" bestFit="1" customWidth="1"/>
    <col min="3" max="4" width="11.81640625" bestFit="1" customWidth="1"/>
    <col min="6" max="6" width="21.08984375" bestFit="1" customWidth="1"/>
    <col min="7" max="7" width="9.81640625" bestFit="1" customWidth="1"/>
    <col min="8" max="8" width="18.7265625" bestFit="1" customWidth="1"/>
    <col min="9" max="9" width="27.6328125" bestFit="1" customWidth="1"/>
    <col min="10" max="10" width="10.26953125" bestFit="1" customWidth="1"/>
    <col min="11" max="11" width="12.453125" bestFit="1" customWidth="1"/>
    <col min="12" max="12" width="10.26953125" bestFit="1" customWidth="1"/>
    <col min="13" max="13" width="12.453125" bestFit="1" customWidth="1"/>
  </cols>
  <sheetData>
    <row r="1" spans="1:11" x14ac:dyDescent="0.35">
      <c r="A1" s="1" t="s">
        <v>0</v>
      </c>
      <c r="B1" s="2" t="s">
        <v>1</v>
      </c>
      <c r="C1" s="3" t="s">
        <v>28</v>
      </c>
      <c r="D1" s="4" t="s">
        <v>29</v>
      </c>
      <c r="E1" s="5" t="s">
        <v>30</v>
      </c>
      <c r="F1" t="s">
        <v>31</v>
      </c>
      <c r="H1" t="s">
        <v>32</v>
      </c>
      <c r="I1" t="s">
        <v>33</v>
      </c>
      <c r="K1" t="s">
        <v>34</v>
      </c>
    </row>
    <row r="2" spans="1:11" x14ac:dyDescent="0.35">
      <c r="A2" s="7" t="s">
        <v>2</v>
      </c>
      <c r="B2" t="s">
        <v>23</v>
      </c>
      <c r="C2">
        <v>8.7701595011028104</v>
      </c>
      <c r="D2">
        <v>0.16205155047752129</v>
      </c>
      <c r="E2" t="b">
        <v>0</v>
      </c>
      <c r="F2" s="7" t="b">
        <v>0</v>
      </c>
      <c r="G2" t="str">
        <f>IF(F2=E2,"CORRETTO","SBAGLIATO")</f>
        <v>CORRETTO</v>
      </c>
      <c r="H2">
        <v>60</v>
      </c>
      <c r="I2">
        <v>146.72999999999999</v>
      </c>
      <c r="J2">
        <f>SUM(H:H)*10</f>
        <v>59619</v>
      </c>
      <c r="K2">
        <f>SUM(I2:I134)</f>
        <v>16690.170000000009</v>
      </c>
    </row>
    <row r="3" spans="1:11" x14ac:dyDescent="0.35">
      <c r="A3" s="7" t="s">
        <v>2</v>
      </c>
      <c r="B3" t="s">
        <v>25</v>
      </c>
      <c r="C3">
        <v>8.7701595011028104</v>
      </c>
      <c r="D3">
        <v>1.0123281619967823</v>
      </c>
      <c r="E3" t="b">
        <v>0</v>
      </c>
      <c r="F3" s="7" t="b">
        <v>0</v>
      </c>
      <c r="G3" t="str">
        <f t="shared" ref="G3:G66" si="0">IF(F3=E3,"CORRETTO","SBAGLIATO")</f>
        <v>CORRETTO</v>
      </c>
      <c r="H3">
        <v>60</v>
      </c>
      <c r="I3">
        <v>146.72999999999999</v>
      </c>
      <c r="J3">
        <f>SUM(H2:H13,H20:H34,H41,H48:H50,H57:H94,H101,H108:H114,H121,H128:H134)*10</f>
        <v>38469.000000000007</v>
      </c>
      <c r="K3">
        <f>SUM(I2:I13,I20:I34,I41,I48:I50,I57:I94,I101,I108:I114,I121,I128:I134)</f>
        <v>10853.970000000001</v>
      </c>
    </row>
    <row r="4" spans="1:11" x14ac:dyDescent="0.35">
      <c r="A4" s="7" t="s">
        <v>2</v>
      </c>
      <c r="B4" t="s">
        <v>21</v>
      </c>
      <c r="C4">
        <v>8.7701595011028104</v>
      </c>
      <c r="D4">
        <v>1.5489126819161925</v>
      </c>
      <c r="E4" t="b">
        <v>0</v>
      </c>
      <c r="F4" s="7" t="b">
        <v>0</v>
      </c>
      <c r="G4" t="str">
        <f t="shared" si="0"/>
        <v>CORRETTO</v>
      </c>
      <c r="H4">
        <v>60</v>
      </c>
      <c r="I4">
        <v>146.72999999999999</v>
      </c>
    </row>
    <row r="5" spans="1:11" x14ac:dyDescent="0.35">
      <c r="A5" s="7" t="s">
        <v>2</v>
      </c>
      <c r="B5" t="s">
        <v>26</v>
      </c>
      <c r="C5">
        <v>8.7701595011028104</v>
      </c>
      <c r="D5">
        <v>2.121290899109983</v>
      </c>
      <c r="E5" t="b">
        <v>0</v>
      </c>
      <c r="F5" s="7" t="b">
        <v>0</v>
      </c>
      <c r="G5" t="str">
        <f t="shared" si="0"/>
        <v>CORRETTO</v>
      </c>
      <c r="H5">
        <v>60</v>
      </c>
      <c r="I5">
        <v>146.72999999999999</v>
      </c>
    </row>
    <row r="6" spans="1:11" x14ac:dyDescent="0.35">
      <c r="A6" s="7" t="s">
        <v>15</v>
      </c>
      <c r="B6" t="s">
        <v>27</v>
      </c>
      <c r="C6">
        <v>30.488818852698717</v>
      </c>
      <c r="D6">
        <v>2.4033488390879221</v>
      </c>
      <c r="E6" t="b">
        <v>0</v>
      </c>
      <c r="F6" s="7" t="b">
        <v>0</v>
      </c>
      <c r="G6" t="str">
        <f t="shared" si="0"/>
        <v>CORRETTO</v>
      </c>
      <c r="H6">
        <v>60.2</v>
      </c>
      <c r="I6">
        <v>177.79</v>
      </c>
    </row>
    <row r="7" spans="1:11" x14ac:dyDescent="0.35">
      <c r="A7" s="7" t="s">
        <v>2</v>
      </c>
      <c r="B7" t="s">
        <v>22</v>
      </c>
      <c r="C7">
        <v>8.7701595011028104</v>
      </c>
      <c r="D7">
        <v>3.1801175660202858</v>
      </c>
      <c r="E7" t="b">
        <v>0</v>
      </c>
      <c r="F7" s="7" t="b">
        <v>0</v>
      </c>
      <c r="G7" t="str">
        <f t="shared" si="0"/>
        <v>CORRETTO</v>
      </c>
      <c r="H7">
        <v>60</v>
      </c>
      <c r="I7">
        <v>146.72999999999999</v>
      </c>
    </row>
    <row r="8" spans="1:11" x14ac:dyDescent="0.35">
      <c r="A8" s="7" t="s">
        <v>2</v>
      </c>
      <c r="B8" t="s">
        <v>27</v>
      </c>
      <c r="C8">
        <v>8.7701595011028104</v>
      </c>
      <c r="D8">
        <v>4.3428914615965386</v>
      </c>
      <c r="E8" t="b">
        <v>0</v>
      </c>
      <c r="F8" s="7" t="b">
        <v>0</v>
      </c>
      <c r="G8" t="str">
        <f t="shared" si="0"/>
        <v>CORRETTO</v>
      </c>
      <c r="H8">
        <v>60</v>
      </c>
      <c r="I8">
        <v>146.72999999999999</v>
      </c>
    </row>
    <row r="9" spans="1:11" x14ac:dyDescent="0.35">
      <c r="A9" s="7" t="s">
        <v>4</v>
      </c>
      <c r="B9" t="s">
        <v>25</v>
      </c>
      <c r="C9">
        <v>28.263877553358544</v>
      </c>
      <c r="D9">
        <v>4.9667712560198929</v>
      </c>
      <c r="E9" t="b">
        <v>0</v>
      </c>
      <c r="F9" s="7" t="b">
        <v>0</v>
      </c>
      <c r="G9" t="str">
        <f t="shared" si="0"/>
        <v>CORRETTO</v>
      </c>
      <c r="H9">
        <v>45</v>
      </c>
      <c r="I9">
        <v>123.93</v>
      </c>
    </row>
    <row r="10" spans="1:11" x14ac:dyDescent="0.35">
      <c r="A10" s="7" t="s">
        <v>2</v>
      </c>
      <c r="B10" t="s">
        <v>24</v>
      </c>
      <c r="C10">
        <v>8.7701595011028104</v>
      </c>
      <c r="D10">
        <v>8.9322110515803281</v>
      </c>
      <c r="E10" t="b">
        <v>1</v>
      </c>
      <c r="F10" s="7" t="b">
        <v>1</v>
      </c>
      <c r="G10" t="str">
        <f t="shared" si="0"/>
        <v>CORRETTO</v>
      </c>
      <c r="H10">
        <v>60</v>
      </c>
      <c r="I10">
        <v>146.72999999999999</v>
      </c>
    </row>
    <row r="11" spans="1:11" x14ac:dyDescent="0.35">
      <c r="A11" s="7" t="s">
        <v>14</v>
      </c>
      <c r="B11" t="s">
        <v>24</v>
      </c>
      <c r="C11">
        <v>16.129653027104048</v>
      </c>
      <c r="D11">
        <v>10.439338970348871</v>
      </c>
      <c r="E11" t="b">
        <v>1</v>
      </c>
      <c r="F11" s="7" t="b">
        <v>1</v>
      </c>
      <c r="G11" t="str">
        <f t="shared" si="0"/>
        <v>CORRETTO</v>
      </c>
      <c r="H11">
        <v>39</v>
      </c>
      <c r="I11">
        <v>129.46</v>
      </c>
    </row>
    <row r="12" spans="1:11" x14ac:dyDescent="0.35">
      <c r="A12" s="7" t="s">
        <v>14</v>
      </c>
      <c r="B12" t="s">
        <v>26</v>
      </c>
      <c r="C12">
        <v>16.129653027104048</v>
      </c>
      <c r="D12">
        <v>10.979711882153726</v>
      </c>
      <c r="E12" t="b">
        <v>1</v>
      </c>
      <c r="F12" s="7" t="b">
        <v>1</v>
      </c>
      <c r="G12" t="str">
        <f t="shared" si="0"/>
        <v>CORRETTO</v>
      </c>
      <c r="H12">
        <v>39</v>
      </c>
      <c r="I12">
        <v>129.46</v>
      </c>
    </row>
    <row r="13" spans="1:11" x14ac:dyDescent="0.35">
      <c r="A13" s="6" t="s">
        <v>17</v>
      </c>
      <c r="B13" t="s">
        <v>24</v>
      </c>
      <c r="C13">
        <v>0.94599979362722308</v>
      </c>
      <c r="D13">
        <v>13.941492071541887</v>
      </c>
      <c r="E13" t="b">
        <v>0</v>
      </c>
      <c r="F13" s="1" t="b">
        <v>0</v>
      </c>
      <c r="G13" t="str">
        <f t="shared" si="0"/>
        <v>CORRETTO</v>
      </c>
      <c r="H13">
        <v>65</v>
      </c>
      <c r="I13">
        <v>166.69</v>
      </c>
    </row>
    <row r="14" spans="1:11" x14ac:dyDescent="0.35">
      <c r="A14" t="s">
        <v>17</v>
      </c>
      <c r="B14" t="s">
        <v>21</v>
      </c>
      <c r="C14">
        <v>0.94599979362722308</v>
      </c>
      <c r="D14">
        <v>14.266772234671855</v>
      </c>
      <c r="E14" t="b">
        <v>0</v>
      </c>
      <c r="F14" s="2" t="b">
        <v>0</v>
      </c>
      <c r="G14" t="str">
        <f t="shared" si="0"/>
        <v>CORRETTO</v>
      </c>
      <c r="H14">
        <v>65</v>
      </c>
      <c r="I14">
        <v>166.69</v>
      </c>
    </row>
    <row r="15" spans="1:11" x14ac:dyDescent="0.35">
      <c r="A15" t="s">
        <v>17</v>
      </c>
      <c r="B15" t="s">
        <v>27</v>
      </c>
      <c r="C15">
        <v>0.94599979362722308</v>
      </c>
      <c r="D15">
        <v>14.338844011281868</v>
      </c>
      <c r="E15" t="b">
        <v>0</v>
      </c>
      <c r="F15" s="2" t="b">
        <v>0</v>
      </c>
      <c r="G15" t="str">
        <f t="shared" si="0"/>
        <v>CORRETTO</v>
      </c>
      <c r="H15">
        <v>65</v>
      </c>
      <c r="I15">
        <v>166.69</v>
      </c>
    </row>
    <row r="16" spans="1:11" x14ac:dyDescent="0.35">
      <c r="A16" t="s">
        <v>17</v>
      </c>
      <c r="B16" t="s">
        <v>26</v>
      </c>
      <c r="C16">
        <v>0.94599979362722308</v>
      </c>
      <c r="D16">
        <v>14.425443573825191</v>
      </c>
      <c r="E16" t="b">
        <v>0</v>
      </c>
      <c r="F16" s="2" t="b">
        <v>0</v>
      </c>
      <c r="G16" t="str">
        <f t="shared" si="0"/>
        <v>CORRETTO</v>
      </c>
      <c r="H16">
        <v>65</v>
      </c>
      <c r="I16">
        <v>166.69</v>
      </c>
    </row>
    <row r="17" spans="1:9" x14ac:dyDescent="0.35">
      <c r="A17" t="s">
        <v>17</v>
      </c>
      <c r="B17" t="s">
        <v>22</v>
      </c>
      <c r="C17">
        <v>0.94599979362722308</v>
      </c>
      <c r="D17">
        <v>14.564572299283942</v>
      </c>
      <c r="E17" t="b">
        <v>0</v>
      </c>
      <c r="F17" s="2" t="b">
        <v>0</v>
      </c>
      <c r="G17" t="str">
        <f t="shared" si="0"/>
        <v>CORRETTO</v>
      </c>
      <c r="H17">
        <v>65</v>
      </c>
      <c r="I17">
        <v>166.69</v>
      </c>
    </row>
    <row r="18" spans="1:9" x14ac:dyDescent="0.35">
      <c r="A18" t="s">
        <v>17</v>
      </c>
      <c r="B18" t="s">
        <v>23</v>
      </c>
      <c r="C18">
        <v>0.94599979362722308</v>
      </c>
      <c r="D18">
        <v>14.629064655255725</v>
      </c>
      <c r="E18" t="b">
        <v>0</v>
      </c>
      <c r="F18" s="2" t="b">
        <v>0</v>
      </c>
      <c r="G18" t="str">
        <f t="shared" si="0"/>
        <v>CORRETTO</v>
      </c>
      <c r="H18">
        <v>65</v>
      </c>
      <c r="I18">
        <v>166.69</v>
      </c>
    </row>
    <row r="19" spans="1:9" x14ac:dyDescent="0.35">
      <c r="A19" t="s">
        <v>17</v>
      </c>
      <c r="B19" t="s">
        <v>25</v>
      </c>
      <c r="C19">
        <v>0.94599979362722308</v>
      </c>
      <c r="D19">
        <v>14.88749186516911</v>
      </c>
      <c r="E19" t="b">
        <v>0</v>
      </c>
      <c r="F19" s="2" t="b">
        <v>0</v>
      </c>
      <c r="G19" t="str">
        <f t="shared" si="0"/>
        <v>CORRETTO</v>
      </c>
      <c r="H19">
        <v>65</v>
      </c>
      <c r="I19">
        <v>166.69</v>
      </c>
    </row>
    <row r="20" spans="1:9" x14ac:dyDescent="0.35">
      <c r="A20" s="7" t="s">
        <v>7</v>
      </c>
      <c r="B20" t="s">
        <v>21</v>
      </c>
      <c r="C20">
        <v>1.8270256186723906</v>
      </c>
      <c r="D20">
        <v>15.451335109607399</v>
      </c>
      <c r="E20" t="b">
        <v>1</v>
      </c>
      <c r="F20" s="7" t="b">
        <v>1</v>
      </c>
      <c r="G20" t="str">
        <f t="shared" si="0"/>
        <v>CORRETTO</v>
      </c>
      <c r="H20">
        <v>24</v>
      </c>
      <c r="I20">
        <v>86.66</v>
      </c>
    </row>
    <row r="21" spans="1:9" x14ac:dyDescent="0.35">
      <c r="A21" s="7" t="s">
        <v>7</v>
      </c>
      <c r="B21" t="s">
        <v>22</v>
      </c>
      <c r="C21">
        <v>1.8270256186723906</v>
      </c>
      <c r="D21">
        <v>16.267993007157141</v>
      </c>
      <c r="E21" t="b">
        <v>1</v>
      </c>
      <c r="F21" s="7" t="b">
        <v>1</v>
      </c>
      <c r="G21" t="str">
        <f t="shared" si="0"/>
        <v>CORRETTO</v>
      </c>
      <c r="H21">
        <v>24</v>
      </c>
      <c r="I21">
        <v>86.66</v>
      </c>
    </row>
    <row r="22" spans="1:9" x14ac:dyDescent="0.35">
      <c r="A22" s="7" t="s">
        <v>7</v>
      </c>
      <c r="B22" t="s">
        <v>26</v>
      </c>
      <c r="C22">
        <v>1.8270256186723906</v>
      </c>
      <c r="D22">
        <v>16.835580936498847</v>
      </c>
      <c r="E22" t="b">
        <v>1</v>
      </c>
      <c r="F22" s="7" t="b">
        <v>1</v>
      </c>
      <c r="G22" t="str">
        <f t="shared" si="0"/>
        <v>CORRETTO</v>
      </c>
      <c r="H22">
        <v>24</v>
      </c>
      <c r="I22">
        <v>86.66</v>
      </c>
    </row>
    <row r="23" spans="1:9" x14ac:dyDescent="0.35">
      <c r="A23" s="7" t="s">
        <v>7</v>
      </c>
      <c r="B23" t="s">
        <v>24</v>
      </c>
      <c r="C23">
        <v>1.8270256186723906</v>
      </c>
      <c r="D23">
        <v>16.851411019931788</v>
      </c>
      <c r="E23" t="b">
        <v>1</v>
      </c>
      <c r="F23" s="7" t="b">
        <v>1</v>
      </c>
      <c r="G23" t="str">
        <f t="shared" si="0"/>
        <v>CORRETTO</v>
      </c>
      <c r="H23">
        <v>24</v>
      </c>
      <c r="I23">
        <v>86.66</v>
      </c>
    </row>
    <row r="24" spans="1:9" x14ac:dyDescent="0.35">
      <c r="A24" s="7" t="s">
        <v>7</v>
      </c>
      <c r="B24" t="s">
        <v>27</v>
      </c>
      <c r="C24">
        <v>1.8270256186723906</v>
      </c>
      <c r="D24">
        <v>16.870495922603986</v>
      </c>
      <c r="E24" t="b">
        <v>1</v>
      </c>
      <c r="F24" s="7" t="b">
        <v>1</v>
      </c>
      <c r="G24" t="str">
        <f t="shared" si="0"/>
        <v>CORRETTO</v>
      </c>
      <c r="H24">
        <v>24</v>
      </c>
      <c r="I24">
        <v>86.66</v>
      </c>
    </row>
    <row r="25" spans="1:9" x14ac:dyDescent="0.35">
      <c r="A25" s="7" t="s">
        <v>7</v>
      </c>
      <c r="B25" t="s">
        <v>25</v>
      </c>
      <c r="C25">
        <v>1.8270256186723906</v>
      </c>
      <c r="D25">
        <v>16.910167729826547</v>
      </c>
      <c r="E25" t="b">
        <v>1</v>
      </c>
      <c r="F25" s="7" t="b">
        <v>1</v>
      </c>
      <c r="G25" t="str">
        <f t="shared" si="0"/>
        <v>CORRETTO</v>
      </c>
      <c r="H25">
        <v>24</v>
      </c>
      <c r="I25">
        <v>86.66</v>
      </c>
    </row>
    <row r="26" spans="1:9" x14ac:dyDescent="0.35">
      <c r="A26" s="7" t="s">
        <v>7</v>
      </c>
      <c r="B26" t="s">
        <v>23</v>
      </c>
      <c r="C26">
        <v>1.8270256186723906</v>
      </c>
      <c r="D26">
        <v>17.27836072827979</v>
      </c>
      <c r="E26" t="b">
        <v>1</v>
      </c>
      <c r="F26" s="7" t="b">
        <v>1</v>
      </c>
      <c r="G26" t="str">
        <f t="shared" si="0"/>
        <v>CORRETTO</v>
      </c>
      <c r="H26">
        <v>24</v>
      </c>
      <c r="I26">
        <v>86.66</v>
      </c>
    </row>
    <row r="27" spans="1:9" x14ac:dyDescent="0.35">
      <c r="A27" s="7" t="s">
        <v>14</v>
      </c>
      <c r="B27" t="s">
        <v>21</v>
      </c>
      <c r="C27">
        <v>16.129653027104048</v>
      </c>
      <c r="D27">
        <v>22.017838928658158</v>
      </c>
      <c r="E27" t="b">
        <v>1</v>
      </c>
      <c r="F27" s="7" t="b">
        <v>1</v>
      </c>
      <c r="G27" t="str">
        <f t="shared" si="0"/>
        <v>CORRETTO</v>
      </c>
      <c r="H27">
        <v>39</v>
      </c>
      <c r="I27">
        <v>129.46</v>
      </c>
    </row>
    <row r="28" spans="1:9" x14ac:dyDescent="0.35">
      <c r="A28" s="7" t="s">
        <v>14</v>
      </c>
      <c r="B28" t="s">
        <v>23</v>
      </c>
      <c r="C28">
        <v>16.129653027104048</v>
      </c>
      <c r="D28">
        <v>22.168889762644177</v>
      </c>
      <c r="E28" t="b">
        <v>1</v>
      </c>
      <c r="F28" s="7" t="b">
        <v>1</v>
      </c>
      <c r="G28" t="str">
        <f t="shared" si="0"/>
        <v>CORRETTO</v>
      </c>
      <c r="H28">
        <v>39</v>
      </c>
      <c r="I28">
        <v>129.46</v>
      </c>
    </row>
    <row r="29" spans="1:9" x14ac:dyDescent="0.35">
      <c r="A29" s="7" t="s">
        <v>16</v>
      </c>
      <c r="B29" t="s">
        <v>23</v>
      </c>
      <c r="C29">
        <v>15.4198124313588</v>
      </c>
      <c r="D29">
        <v>23.872311184257043</v>
      </c>
      <c r="E29" t="b">
        <v>0</v>
      </c>
      <c r="F29" s="7" t="b">
        <v>0</v>
      </c>
      <c r="G29" t="str">
        <f t="shared" si="0"/>
        <v>CORRETTO</v>
      </c>
      <c r="H29">
        <v>70</v>
      </c>
      <c r="I29">
        <v>159.44</v>
      </c>
    </row>
    <row r="30" spans="1:9" x14ac:dyDescent="0.35">
      <c r="A30" s="7" t="s">
        <v>14</v>
      </c>
      <c r="B30" t="s">
        <v>25</v>
      </c>
      <c r="C30">
        <v>16.129653027104048</v>
      </c>
      <c r="D30">
        <v>25.543714011477746</v>
      </c>
      <c r="E30" t="b">
        <v>1</v>
      </c>
      <c r="F30" s="7" t="b">
        <v>1</v>
      </c>
      <c r="G30" t="str">
        <f t="shared" si="0"/>
        <v>CORRETTO</v>
      </c>
      <c r="H30">
        <v>39</v>
      </c>
      <c r="I30">
        <v>129.46</v>
      </c>
    </row>
    <row r="31" spans="1:9" x14ac:dyDescent="0.35">
      <c r="A31" s="7" t="s">
        <v>14</v>
      </c>
      <c r="B31" t="s">
        <v>27</v>
      </c>
      <c r="C31">
        <v>16.129653027104048</v>
      </c>
      <c r="D31">
        <v>25.634803154595978</v>
      </c>
      <c r="E31" t="b">
        <v>1</v>
      </c>
      <c r="F31" s="7" t="b">
        <v>1</v>
      </c>
      <c r="G31" t="str">
        <f t="shared" si="0"/>
        <v>CORRETTO</v>
      </c>
      <c r="H31">
        <v>39</v>
      </c>
      <c r="I31">
        <v>129.46</v>
      </c>
    </row>
    <row r="32" spans="1:9" x14ac:dyDescent="0.35">
      <c r="A32" s="7" t="s">
        <v>14</v>
      </c>
      <c r="B32" t="s">
        <v>22</v>
      </c>
      <c r="C32">
        <v>16.129653027104048</v>
      </c>
      <c r="D32">
        <v>26.568991997452919</v>
      </c>
      <c r="E32" t="b">
        <v>1</v>
      </c>
      <c r="F32" s="7" t="b">
        <v>1</v>
      </c>
      <c r="G32" t="str">
        <f t="shared" si="0"/>
        <v>CORRETTO</v>
      </c>
      <c r="H32">
        <v>39</v>
      </c>
      <c r="I32">
        <v>129.46</v>
      </c>
    </row>
    <row r="33" spans="1:9" x14ac:dyDescent="0.35">
      <c r="A33" s="7" t="s">
        <v>4</v>
      </c>
      <c r="B33" t="s">
        <v>23</v>
      </c>
      <c r="C33">
        <v>28.263877553358544</v>
      </c>
      <c r="D33">
        <v>27.398325126422456</v>
      </c>
      <c r="E33" t="b">
        <v>0</v>
      </c>
      <c r="F33" s="7" t="b">
        <v>0</v>
      </c>
      <c r="G33" t="str">
        <f t="shared" si="0"/>
        <v>CORRETTO</v>
      </c>
      <c r="H33">
        <v>45</v>
      </c>
      <c r="I33">
        <v>123.93</v>
      </c>
    </row>
    <row r="34" spans="1:9" x14ac:dyDescent="0.35">
      <c r="A34" s="6" t="s">
        <v>10</v>
      </c>
      <c r="B34" t="s">
        <v>21</v>
      </c>
      <c r="C34">
        <v>0.61232699178358274</v>
      </c>
      <c r="D34">
        <v>28.564850035905799</v>
      </c>
      <c r="E34" t="b">
        <v>1</v>
      </c>
      <c r="F34" s="1" t="b">
        <v>1</v>
      </c>
      <c r="G34" t="str">
        <f t="shared" si="0"/>
        <v>CORRETTO</v>
      </c>
      <c r="H34">
        <v>22.5</v>
      </c>
      <c r="I34">
        <v>80.09</v>
      </c>
    </row>
    <row r="35" spans="1:9" x14ac:dyDescent="0.35">
      <c r="A35" t="s">
        <v>10</v>
      </c>
      <c r="B35" t="s">
        <v>22</v>
      </c>
      <c r="C35">
        <v>0.61232699178358274</v>
      </c>
      <c r="D35">
        <v>28.710406021508177</v>
      </c>
      <c r="E35" t="b">
        <v>1</v>
      </c>
      <c r="F35" s="2" t="b">
        <v>1</v>
      </c>
      <c r="G35" t="str">
        <f t="shared" si="0"/>
        <v>CORRETTO</v>
      </c>
      <c r="H35">
        <v>22.5</v>
      </c>
      <c r="I35">
        <v>80.09</v>
      </c>
    </row>
    <row r="36" spans="1:9" x14ac:dyDescent="0.35">
      <c r="A36" t="s">
        <v>10</v>
      </c>
      <c r="B36" t="s">
        <v>27</v>
      </c>
      <c r="C36">
        <v>0.61232699178358274</v>
      </c>
      <c r="D36">
        <v>28.979670133966934</v>
      </c>
      <c r="E36" t="b">
        <v>1</v>
      </c>
      <c r="F36" s="2" t="b">
        <v>1</v>
      </c>
      <c r="G36" t="str">
        <f t="shared" si="0"/>
        <v>CORRETTO</v>
      </c>
      <c r="H36">
        <v>22.5</v>
      </c>
      <c r="I36">
        <v>80.09</v>
      </c>
    </row>
    <row r="37" spans="1:9" x14ac:dyDescent="0.35">
      <c r="A37" t="s">
        <v>10</v>
      </c>
      <c r="B37" t="s">
        <v>26</v>
      </c>
      <c r="C37">
        <v>0.61232699178358274</v>
      </c>
      <c r="D37">
        <v>28.988965688207465</v>
      </c>
      <c r="E37" t="b">
        <v>1</v>
      </c>
      <c r="F37" s="2" t="b">
        <v>1</v>
      </c>
      <c r="G37" t="str">
        <f t="shared" si="0"/>
        <v>CORRETTO</v>
      </c>
      <c r="H37">
        <v>22.5</v>
      </c>
      <c r="I37">
        <v>80.09</v>
      </c>
    </row>
    <row r="38" spans="1:9" x14ac:dyDescent="0.35">
      <c r="A38" t="s">
        <v>10</v>
      </c>
      <c r="B38" t="s">
        <v>23</v>
      </c>
      <c r="C38">
        <v>0.61232699178358274</v>
      </c>
      <c r="D38">
        <v>29.026721012848071</v>
      </c>
      <c r="E38" t="b">
        <v>1</v>
      </c>
      <c r="F38" s="2" t="b">
        <v>1</v>
      </c>
      <c r="G38" t="str">
        <f t="shared" si="0"/>
        <v>CORRETTO</v>
      </c>
      <c r="H38">
        <v>22.5</v>
      </c>
      <c r="I38">
        <v>80.09</v>
      </c>
    </row>
    <row r="39" spans="1:9" x14ac:dyDescent="0.35">
      <c r="A39" t="s">
        <v>10</v>
      </c>
      <c r="B39" t="s">
        <v>25</v>
      </c>
      <c r="C39">
        <v>0.61232699178358274</v>
      </c>
      <c r="D39">
        <v>29.033979510562602</v>
      </c>
      <c r="E39" t="b">
        <v>1</v>
      </c>
      <c r="F39" s="2" t="b">
        <v>1</v>
      </c>
      <c r="G39" t="str">
        <f t="shared" si="0"/>
        <v>CORRETTO</v>
      </c>
      <c r="H39">
        <v>22.5</v>
      </c>
      <c r="I39">
        <v>80.09</v>
      </c>
    </row>
    <row r="40" spans="1:9" x14ac:dyDescent="0.35">
      <c r="A40" t="s">
        <v>10</v>
      </c>
      <c r="B40" t="s">
        <v>24</v>
      </c>
      <c r="C40">
        <v>0.61232699178358274</v>
      </c>
      <c r="D40">
        <v>29.177177027689382</v>
      </c>
      <c r="E40" t="b">
        <v>1</v>
      </c>
      <c r="F40" s="2" t="b">
        <v>1</v>
      </c>
      <c r="G40" t="str">
        <f t="shared" si="0"/>
        <v>CORRETTO</v>
      </c>
      <c r="H40">
        <v>22.5</v>
      </c>
      <c r="I40">
        <v>80.09</v>
      </c>
    </row>
    <row r="41" spans="1:9" x14ac:dyDescent="0.35">
      <c r="A41" s="6" t="s">
        <v>13</v>
      </c>
      <c r="B41" t="s">
        <v>24</v>
      </c>
      <c r="C41">
        <v>0.71740993810161768</v>
      </c>
      <c r="D41">
        <v>29.242332461396487</v>
      </c>
      <c r="E41" t="b">
        <v>0</v>
      </c>
      <c r="F41" s="1" t="b">
        <v>0</v>
      </c>
      <c r="G41" t="str">
        <f t="shared" si="0"/>
        <v>CORRETTO</v>
      </c>
      <c r="H41">
        <v>25.5</v>
      </c>
      <c r="I41">
        <v>86.75</v>
      </c>
    </row>
    <row r="42" spans="1:9" x14ac:dyDescent="0.35">
      <c r="A42" t="s">
        <v>13</v>
      </c>
      <c r="B42" t="s">
        <v>21</v>
      </c>
      <c r="C42">
        <v>0.71740993810161768</v>
      </c>
      <c r="D42">
        <v>29.534781508346462</v>
      </c>
      <c r="E42" t="b">
        <v>0</v>
      </c>
      <c r="F42" s="2" t="b">
        <v>0</v>
      </c>
      <c r="G42" t="str">
        <f t="shared" si="0"/>
        <v>CORRETTO</v>
      </c>
      <c r="H42">
        <v>25.5</v>
      </c>
      <c r="I42">
        <v>86.75</v>
      </c>
    </row>
    <row r="43" spans="1:9" x14ac:dyDescent="0.35">
      <c r="A43" t="s">
        <v>13</v>
      </c>
      <c r="B43" t="s">
        <v>25</v>
      </c>
      <c r="C43">
        <v>0.71740993810161768</v>
      </c>
      <c r="D43">
        <v>29.534902640658423</v>
      </c>
      <c r="E43" t="b">
        <v>0</v>
      </c>
      <c r="F43" s="2" t="b">
        <v>0</v>
      </c>
      <c r="G43" t="str">
        <f t="shared" si="0"/>
        <v>CORRETTO</v>
      </c>
      <c r="H43">
        <v>25.5</v>
      </c>
      <c r="I43">
        <v>86.75</v>
      </c>
    </row>
    <row r="44" spans="1:9" x14ac:dyDescent="0.35">
      <c r="A44" t="s">
        <v>13</v>
      </c>
      <c r="B44" t="s">
        <v>23</v>
      </c>
      <c r="C44">
        <v>0.71740993810161768</v>
      </c>
      <c r="D44">
        <v>29.615205869702237</v>
      </c>
      <c r="E44" t="b">
        <v>0</v>
      </c>
      <c r="F44" s="2" t="b">
        <v>0</v>
      </c>
      <c r="G44" t="str">
        <f t="shared" si="0"/>
        <v>CORRETTO</v>
      </c>
      <c r="H44">
        <v>25.5</v>
      </c>
      <c r="I44">
        <v>86.75</v>
      </c>
    </row>
    <row r="45" spans="1:9" x14ac:dyDescent="0.35">
      <c r="A45" t="s">
        <v>13</v>
      </c>
      <c r="B45" t="s">
        <v>26</v>
      </c>
      <c r="C45">
        <v>0.71740993810161768</v>
      </c>
      <c r="D45">
        <v>29.720336882646521</v>
      </c>
      <c r="E45" t="b">
        <v>0</v>
      </c>
      <c r="F45" s="2" t="b">
        <v>0</v>
      </c>
      <c r="G45" t="str">
        <f t="shared" si="0"/>
        <v>CORRETTO</v>
      </c>
      <c r="H45">
        <v>25.5</v>
      </c>
      <c r="I45">
        <v>86.75</v>
      </c>
    </row>
    <row r="46" spans="1:9" x14ac:dyDescent="0.35">
      <c r="A46" t="s">
        <v>13</v>
      </c>
      <c r="B46" t="s">
        <v>22</v>
      </c>
      <c r="C46">
        <v>0.71740993810161768</v>
      </c>
      <c r="D46">
        <v>29.740558604832692</v>
      </c>
      <c r="E46" t="b">
        <v>0</v>
      </c>
      <c r="F46" s="2" t="b">
        <v>0</v>
      </c>
      <c r="G46" t="str">
        <f t="shared" si="0"/>
        <v>CORRETTO</v>
      </c>
      <c r="H46">
        <v>25.5</v>
      </c>
      <c r="I46">
        <v>86.75</v>
      </c>
    </row>
    <row r="47" spans="1:9" x14ac:dyDescent="0.35">
      <c r="A47" t="s">
        <v>13</v>
      </c>
      <c r="B47" t="s">
        <v>27</v>
      </c>
      <c r="C47">
        <v>0.71740993810161768</v>
      </c>
      <c r="D47">
        <v>29.959742399498104</v>
      </c>
      <c r="E47" t="b">
        <v>0</v>
      </c>
      <c r="F47" s="2" t="b">
        <v>0</v>
      </c>
      <c r="G47" t="str">
        <f t="shared" si="0"/>
        <v>CORRETTO</v>
      </c>
      <c r="H47">
        <v>25.5</v>
      </c>
      <c r="I47">
        <v>86.75</v>
      </c>
    </row>
    <row r="48" spans="1:9" x14ac:dyDescent="0.35">
      <c r="A48" s="7" t="s">
        <v>15</v>
      </c>
      <c r="B48" t="s">
        <v>23</v>
      </c>
      <c r="C48">
        <v>30.488818852698717</v>
      </c>
      <c r="D48">
        <v>30.308346551545299</v>
      </c>
      <c r="E48" t="b">
        <v>0</v>
      </c>
      <c r="F48" s="7" t="b">
        <v>0</v>
      </c>
      <c r="G48" t="str">
        <f t="shared" si="0"/>
        <v>CORRETTO</v>
      </c>
      <c r="H48">
        <v>60.2</v>
      </c>
      <c r="I48">
        <v>177.79</v>
      </c>
    </row>
    <row r="49" spans="1:9" x14ac:dyDescent="0.35">
      <c r="A49" s="7" t="s">
        <v>18</v>
      </c>
      <c r="B49" t="s">
        <v>25</v>
      </c>
      <c r="C49">
        <v>6.0895616608321603</v>
      </c>
      <c r="D49">
        <v>30.743529867882174</v>
      </c>
      <c r="E49" t="b">
        <v>0</v>
      </c>
      <c r="F49" s="7" t="b">
        <v>0</v>
      </c>
      <c r="G49" t="str">
        <f t="shared" si="0"/>
        <v>CORRETTO</v>
      </c>
      <c r="H49">
        <v>35</v>
      </c>
      <c r="I49">
        <v>111.51</v>
      </c>
    </row>
    <row r="50" spans="1:9" x14ac:dyDescent="0.35">
      <c r="A50" s="6" t="s">
        <v>8</v>
      </c>
      <c r="B50" t="s">
        <v>21</v>
      </c>
      <c r="C50">
        <v>0.2238822063762953</v>
      </c>
      <c r="D50">
        <v>30.755956303763455</v>
      </c>
      <c r="E50" t="b">
        <v>0</v>
      </c>
      <c r="F50" s="1" t="b">
        <v>0</v>
      </c>
      <c r="G50" t="str">
        <f t="shared" si="0"/>
        <v>CORRETTO</v>
      </c>
      <c r="H50">
        <v>90</v>
      </c>
      <c r="I50">
        <v>200.02</v>
      </c>
    </row>
    <row r="51" spans="1:9" x14ac:dyDescent="0.35">
      <c r="A51" t="s">
        <v>8</v>
      </c>
      <c r="B51" t="s">
        <v>24</v>
      </c>
      <c r="C51">
        <v>0.2238822063762953</v>
      </c>
      <c r="D51">
        <v>30.952523680957086</v>
      </c>
      <c r="E51" t="b">
        <v>0</v>
      </c>
      <c r="F51" s="2" t="b">
        <v>0</v>
      </c>
      <c r="G51" t="str">
        <f t="shared" si="0"/>
        <v>CORRETTO</v>
      </c>
      <c r="H51">
        <v>90</v>
      </c>
      <c r="I51">
        <v>200.02</v>
      </c>
    </row>
    <row r="52" spans="1:9" x14ac:dyDescent="0.35">
      <c r="A52" t="s">
        <v>8</v>
      </c>
      <c r="B52" t="s">
        <v>26</v>
      </c>
      <c r="C52">
        <v>0.2238822063762953</v>
      </c>
      <c r="D52">
        <v>30.957105984381037</v>
      </c>
      <c r="E52" t="b">
        <v>0</v>
      </c>
      <c r="F52" s="2" t="b">
        <v>0</v>
      </c>
      <c r="G52" t="str">
        <f t="shared" si="0"/>
        <v>CORRETTO</v>
      </c>
      <c r="H52">
        <v>90</v>
      </c>
      <c r="I52">
        <v>200.02</v>
      </c>
    </row>
    <row r="53" spans="1:9" x14ac:dyDescent="0.35">
      <c r="A53" t="s">
        <v>8</v>
      </c>
      <c r="B53" t="s">
        <v>22</v>
      </c>
      <c r="C53">
        <v>0.2238822063762953</v>
      </c>
      <c r="D53">
        <v>30.96665412533568</v>
      </c>
      <c r="E53" t="b">
        <v>0</v>
      </c>
      <c r="F53" s="2" t="b">
        <v>0</v>
      </c>
      <c r="G53" t="str">
        <f t="shared" si="0"/>
        <v>CORRETTO</v>
      </c>
      <c r="H53">
        <v>90</v>
      </c>
      <c r="I53">
        <v>200.02</v>
      </c>
    </row>
    <row r="54" spans="1:9" x14ac:dyDescent="0.35">
      <c r="A54" t="s">
        <v>8</v>
      </c>
      <c r="B54" t="s">
        <v>23</v>
      </c>
      <c r="C54">
        <v>0.2238822063762953</v>
      </c>
      <c r="D54">
        <v>30.966712812186238</v>
      </c>
      <c r="E54" t="b">
        <v>0</v>
      </c>
      <c r="F54" s="2" t="b">
        <v>0</v>
      </c>
      <c r="G54" t="str">
        <f t="shared" si="0"/>
        <v>CORRETTO</v>
      </c>
      <c r="H54">
        <v>90</v>
      </c>
      <c r="I54">
        <v>200.02</v>
      </c>
    </row>
    <row r="55" spans="1:9" x14ac:dyDescent="0.35">
      <c r="A55" t="s">
        <v>8</v>
      </c>
      <c r="B55" t="s">
        <v>25</v>
      </c>
      <c r="C55">
        <v>0.2238822063762953</v>
      </c>
      <c r="D55">
        <v>30.975353459770574</v>
      </c>
      <c r="E55" t="b">
        <v>0</v>
      </c>
      <c r="F55" s="2" t="b">
        <v>0</v>
      </c>
      <c r="G55" t="str">
        <f t="shared" si="0"/>
        <v>CORRETTO</v>
      </c>
      <c r="H55">
        <v>90</v>
      </c>
      <c r="I55">
        <v>200.02</v>
      </c>
    </row>
    <row r="56" spans="1:9" x14ac:dyDescent="0.35">
      <c r="A56" t="s">
        <v>8</v>
      </c>
      <c r="B56" t="s">
        <v>27</v>
      </c>
      <c r="C56">
        <v>0.2238822063762953</v>
      </c>
      <c r="D56">
        <v>30.97983851013975</v>
      </c>
      <c r="E56" t="b">
        <v>0</v>
      </c>
      <c r="F56" s="2" t="b">
        <v>0</v>
      </c>
      <c r="G56" t="str">
        <f t="shared" si="0"/>
        <v>CORRETTO</v>
      </c>
      <c r="H56">
        <v>90</v>
      </c>
      <c r="I56">
        <v>200.02</v>
      </c>
    </row>
    <row r="57" spans="1:9" x14ac:dyDescent="0.35">
      <c r="A57" s="7" t="s">
        <v>19</v>
      </c>
      <c r="B57" t="s">
        <v>21</v>
      </c>
      <c r="C57">
        <v>7.7173004121873845</v>
      </c>
      <c r="D57">
        <v>31.433913598440235</v>
      </c>
      <c r="E57" t="b">
        <v>0</v>
      </c>
      <c r="F57" s="7" t="b">
        <v>0</v>
      </c>
      <c r="G57" t="str">
        <f t="shared" si="0"/>
        <v>CORRETTO</v>
      </c>
      <c r="H57">
        <v>28</v>
      </c>
      <c r="I57">
        <v>87.23</v>
      </c>
    </row>
    <row r="58" spans="1:9" x14ac:dyDescent="0.35">
      <c r="A58" s="7" t="s">
        <v>15</v>
      </c>
      <c r="B58" t="s">
        <v>22</v>
      </c>
      <c r="C58">
        <v>30.488818852698717</v>
      </c>
      <c r="D58">
        <v>32.798168031389402</v>
      </c>
      <c r="E58" t="b">
        <v>0</v>
      </c>
      <c r="F58" s="7" t="b">
        <v>0</v>
      </c>
      <c r="G58" t="str">
        <f t="shared" si="0"/>
        <v>CORRETTO</v>
      </c>
      <c r="H58">
        <v>60.2</v>
      </c>
      <c r="I58">
        <v>177.79</v>
      </c>
    </row>
    <row r="59" spans="1:9" x14ac:dyDescent="0.35">
      <c r="A59" s="7" t="s">
        <v>15</v>
      </c>
      <c r="B59" t="s">
        <v>21</v>
      </c>
      <c r="C59">
        <v>30.488818852698717</v>
      </c>
      <c r="D59">
        <v>32.809569263513914</v>
      </c>
      <c r="E59" t="b">
        <v>0</v>
      </c>
      <c r="F59" s="7" t="b">
        <v>0</v>
      </c>
      <c r="G59" t="str">
        <f t="shared" si="0"/>
        <v>CORRETTO</v>
      </c>
      <c r="H59">
        <v>60.2</v>
      </c>
      <c r="I59">
        <v>177.79</v>
      </c>
    </row>
    <row r="60" spans="1:9" x14ac:dyDescent="0.35">
      <c r="A60" s="7" t="s">
        <v>16</v>
      </c>
      <c r="B60" t="s">
        <v>25</v>
      </c>
      <c r="C60">
        <v>15.4198124313588</v>
      </c>
      <c r="D60">
        <v>32.835069538511881</v>
      </c>
      <c r="E60" t="b">
        <v>0</v>
      </c>
      <c r="F60" s="7" t="b">
        <v>0</v>
      </c>
      <c r="G60" t="str">
        <f t="shared" si="0"/>
        <v>CORRETTO</v>
      </c>
      <c r="H60">
        <v>70</v>
      </c>
      <c r="I60">
        <v>159.44</v>
      </c>
    </row>
    <row r="61" spans="1:9" x14ac:dyDescent="0.35">
      <c r="A61" s="7" t="s">
        <v>15</v>
      </c>
      <c r="B61" t="s">
        <v>25</v>
      </c>
      <c r="C61">
        <v>30.488818852698717</v>
      </c>
      <c r="D61">
        <v>32.843859309996049</v>
      </c>
      <c r="E61" t="b">
        <v>0</v>
      </c>
      <c r="F61" s="7" t="b">
        <v>0</v>
      </c>
      <c r="G61" t="str">
        <f t="shared" si="0"/>
        <v>CORRETTO</v>
      </c>
      <c r="H61">
        <v>60.2</v>
      </c>
      <c r="I61">
        <v>177.79</v>
      </c>
    </row>
    <row r="62" spans="1:9" x14ac:dyDescent="0.35">
      <c r="A62" s="7" t="s">
        <v>15</v>
      </c>
      <c r="B62" t="s">
        <v>26</v>
      </c>
      <c r="C62">
        <v>30.488818852698717</v>
      </c>
      <c r="D62">
        <v>32.856720890620039</v>
      </c>
      <c r="E62" t="b">
        <v>0</v>
      </c>
      <c r="F62" s="7" t="b">
        <v>0</v>
      </c>
      <c r="G62" t="str">
        <f t="shared" si="0"/>
        <v>CORRETTO</v>
      </c>
      <c r="H62">
        <v>60.2</v>
      </c>
      <c r="I62">
        <v>177.79</v>
      </c>
    </row>
    <row r="63" spans="1:9" x14ac:dyDescent="0.35">
      <c r="A63" s="7" t="s">
        <v>15</v>
      </c>
      <c r="B63" t="s">
        <v>24</v>
      </c>
      <c r="C63">
        <v>30.488818852698717</v>
      </c>
      <c r="D63">
        <v>32.892167691786639</v>
      </c>
      <c r="E63" t="b">
        <v>0</v>
      </c>
      <c r="F63" s="7" t="b">
        <v>0</v>
      </c>
      <c r="G63" t="str">
        <f t="shared" si="0"/>
        <v>CORRETTO</v>
      </c>
      <c r="H63">
        <v>60.2</v>
      </c>
      <c r="I63">
        <v>177.79</v>
      </c>
    </row>
    <row r="64" spans="1:9" x14ac:dyDescent="0.35">
      <c r="A64" s="7" t="s">
        <v>4</v>
      </c>
      <c r="B64" t="s">
        <v>24</v>
      </c>
      <c r="C64">
        <v>28.263877553358544</v>
      </c>
      <c r="D64">
        <v>33.195935931757063</v>
      </c>
      <c r="E64" t="b">
        <v>0</v>
      </c>
      <c r="F64" s="7" t="b">
        <v>0</v>
      </c>
      <c r="G64" t="str">
        <f t="shared" si="0"/>
        <v>CORRETTO</v>
      </c>
      <c r="H64">
        <v>45</v>
      </c>
      <c r="I64">
        <v>123.93</v>
      </c>
    </row>
    <row r="65" spans="1:9" x14ac:dyDescent="0.35">
      <c r="A65" s="7" t="s">
        <v>4</v>
      </c>
      <c r="B65" t="s">
        <v>22</v>
      </c>
      <c r="C65">
        <v>28.263877553358544</v>
      </c>
      <c r="D65">
        <v>33.203020544767703</v>
      </c>
      <c r="E65" t="b">
        <v>0</v>
      </c>
      <c r="F65" s="7" t="b">
        <v>0</v>
      </c>
      <c r="G65" t="str">
        <f t="shared" si="0"/>
        <v>CORRETTO</v>
      </c>
      <c r="H65">
        <v>45</v>
      </c>
      <c r="I65">
        <v>123.93</v>
      </c>
    </row>
    <row r="66" spans="1:9" x14ac:dyDescent="0.35">
      <c r="A66" s="7" t="s">
        <v>4</v>
      </c>
      <c r="B66" t="s">
        <v>27</v>
      </c>
      <c r="C66">
        <v>28.263877553358544</v>
      </c>
      <c r="D66">
        <v>33.20362214184297</v>
      </c>
      <c r="E66" t="b">
        <v>0</v>
      </c>
      <c r="F66" s="7" t="b">
        <v>0</v>
      </c>
      <c r="G66" t="str">
        <f t="shared" si="0"/>
        <v>CORRETTO</v>
      </c>
      <c r="H66">
        <v>45</v>
      </c>
      <c r="I66">
        <v>123.93</v>
      </c>
    </row>
    <row r="67" spans="1:9" x14ac:dyDescent="0.35">
      <c r="A67" s="7" t="s">
        <v>4</v>
      </c>
      <c r="B67" t="s">
        <v>21</v>
      </c>
      <c r="C67">
        <v>28.263877553358544</v>
      </c>
      <c r="D67">
        <v>33.229882279081274</v>
      </c>
      <c r="E67" t="b">
        <v>0</v>
      </c>
      <c r="F67" s="7" t="b">
        <v>0</v>
      </c>
      <c r="G67" t="str">
        <f t="shared" ref="G67:G130" si="1">IF(F67=E67,"CORRETTO","SBAGLIATO")</f>
        <v>CORRETTO</v>
      </c>
      <c r="H67">
        <v>45</v>
      </c>
      <c r="I67">
        <v>123.93</v>
      </c>
    </row>
    <row r="68" spans="1:9" x14ac:dyDescent="0.35">
      <c r="A68" s="7" t="s">
        <v>4</v>
      </c>
      <c r="B68" t="s">
        <v>26</v>
      </c>
      <c r="C68">
        <v>28.263877553358544</v>
      </c>
      <c r="D68">
        <v>33.230648809378437</v>
      </c>
      <c r="E68" t="b">
        <v>0</v>
      </c>
      <c r="F68" s="7" t="b">
        <v>0</v>
      </c>
      <c r="G68" t="str">
        <f t="shared" si="1"/>
        <v>CORRETTO</v>
      </c>
      <c r="H68">
        <v>45</v>
      </c>
      <c r="I68">
        <v>123.93</v>
      </c>
    </row>
    <row r="69" spans="1:9" x14ac:dyDescent="0.35">
      <c r="A69" s="7" t="s">
        <v>18</v>
      </c>
      <c r="B69" t="s">
        <v>21</v>
      </c>
      <c r="C69">
        <v>6.0895616608321603</v>
      </c>
      <c r="D69">
        <v>33.234746518480215</v>
      </c>
      <c r="E69" t="b">
        <v>0</v>
      </c>
      <c r="F69" s="7" t="b">
        <v>0</v>
      </c>
      <c r="G69" t="str">
        <f t="shared" si="1"/>
        <v>CORRETTO</v>
      </c>
      <c r="H69">
        <v>35</v>
      </c>
      <c r="I69">
        <v>111.51</v>
      </c>
    </row>
    <row r="70" spans="1:9" x14ac:dyDescent="0.35">
      <c r="A70" s="7" t="s">
        <v>19</v>
      </c>
      <c r="B70" t="s">
        <v>24</v>
      </c>
      <c r="C70">
        <v>7.7173004121873845</v>
      </c>
      <c r="D70">
        <v>33.448338126650405</v>
      </c>
      <c r="E70" t="b">
        <v>0</v>
      </c>
      <c r="F70" s="7" t="b">
        <v>0</v>
      </c>
      <c r="G70" t="str">
        <f t="shared" si="1"/>
        <v>CORRETTO</v>
      </c>
      <c r="H70">
        <v>28</v>
      </c>
      <c r="I70">
        <v>87.23</v>
      </c>
    </row>
    <row r="71" spans="1:9" x14ac:dyDescent="0.35">
      <c r="A71" s="7" t="s">
        <v>16</v>
      </c>
      <c r="B71" t="s">
        <v>24</v>
      </c>
      <c r="C71">
        <v>15.4198124313588</v>
      </c>
      <c r="D71">
        <v>33.593224135959964</v>
      </c>
      <c r="E71" t="b">
        <v>0</v>
      </c>
      <c r="F71" s="7" t="b">
        <v>0</v>
      </c>
      <c r="G71" t="str">
        <f t="shared" si="1"/>
        <v>CORRETTO</v>
      </c>
      <c r="H71">
        <v>70</v>
      </c>
      <c r="I71">
        <v>159.44</v>
      </c>
    </row>
    <row r="72" spans="1:9" x14ac:dyDescent="0.35">
      <c r="A72" s="7" t="s">
        <v>16</v>
      </c>
      <c r="B72" t="s">
        <v>21</v>
      </c>
      <c r="C72">
        <v>15.4198124313588</v>
      </c>
      <c r="D72">
        <v>34.228208778774459</v>
      </c>
      <c r="E72" t="b">
        <v>0</v>
      </c>
      <c r="F72" s="7" t="b">
        <v>0</v>
      </c>
      <c r="G72" t="str">
        <f t="shared" si="1"/>
        <v>CORRETTO</v>
      </c>
      <c r="H72">
        <v>70</v>
      </c>
      <c r="I72">
        <v>159.44</v>
      </c>
    </row>
    <row r="73" spans="1:9" x14ac:dyDescent="0.35">
      <c r="A73" s="7" t="s">
        <v>18</v>
      </c>
      <c r="B73" t="s">
        <v>23</v>
      </c>
      <c r="C73">
        <v>6.0895616608321603</v>
      </c>
      <c r="D73">
        <v>35.339605958639424</v>
      </c>
      <c r="E73" t="b">
        <v>0</v>
      </c>
      <c r="F73" s="7" t="b">
        <v>0</v>
      </c>
      <c r="G73" t="str">
        <f t="shared" si="1"/>
        <v>CORRETTO</v>
      </c>
      <c r="H73">
        <v>35</v>
      </c>
      <c r="I73">
        <v>111.51</v>
      </c>
    </row>
    <row r="74" spans="1:9" x14ac:dyDescent="0.35">
      <c r="A74" s="7" t="s">
        <v>18</v>
      </c>
      <c r="B74" t="s">
        <v>24</v>
      </c>
      <c r="C74">
        <v>6.0895616608321603</v>
      </c>
      <c r="D74">
        <v>35.406267457999405</v>
      </c>
      <c r="E74" t="b">
        <v>0</v>
      </c>
      <c r="F74" s="7" t="b">
        <v>0</v>
      </c>
      <c r="G74" t="str">
        <f t="shared" si="1"/>
        <v>CORRETTO</v>
      </c>
      <c r="H74">
        <v>35</v>
      </c>
      <c r="I74">
        <v>111.51</v>
      </c>
    </row>
    <row r="75" spans="1:9" x14ac:dyDescent="0.35">
      <c r="A75" s="7" t="s">
        <v>18</v>
      </c>
      <c r="B75" t="s">
        <v>26</v>
      </c>
      <c r="C75">
        <v>6.0895616608321603</v>
      </c>
      <c r="D75">
        <v>35.6176461624203</v>
      </c>
      <c r="E75" t="b">
        <v>0</v>
      </c>
      <c r="F75" s="7" t="b">
        <v>0</v>
      </c>
      <c r="G75" t="str">
        <f t="shared" si="1"/>
        <v>CORRETTO</v>
      </c>
      <c r="H75">
        <v>35</v>
      </c>
      <c r="I75">
        <v>111.51</v>
      </c>
    </row>
    <row r="76" spans="1:9" x14ac:dyDescent="0.35">
      <c r="A76" s="7" t="s">
        <v>18</v>
      </c>
      <c r="B76" t="s">
        <v>27</v>
      </c>
      <c r="C76">
        <v>6.0895616608321603</v>
      </c>
      <c r="D76">
        <v>35.695766394105732</v>
      </c>
      <c r="E76" t="b">
        <v>0</v>
      </c>
      <c r="F76" s="7" t="b">
        <v>0</v>
      </c>
      <c r="G76" t="str">
        <f t="shared" si="1"/>
        <v>CORRETTO</v>
      </c>
      <c r="H76">
        <v>35</v>
      </c>
      <c r="I76">
        <v>111.51</v>
      </c>
    </row>
    <row r="77" spans="1:9" x14ac:dyDescent="0.35">
      <c r="A77" s="7" t="s">
        <v>19</v>
      </c>
      <c r="B77" t="s">
        <v>23</v>
      </c>
      <c r="C77">
        <v>7.7173004121873845</v>
      </c>
      <c r="D77">
        <v>36.438095873937996</v>
      </c>
      <c r="E77" t="b">
        <v>0</v>
      </c>
      <c r="F77" s="7" t="b">
        <v>0</v>
      </c>
      <c r="G77" t="str">
        <f t="shared" si="1"/>
        <v>CORRETTO</v>
      </c>
      <c r="H77">
        <v>28</v>
      </c>
      <c r="I77">
        <v>87.23</v>
      </c>
    </row>
    <row r="78" spans="1:9" x14ac:dyDescent="0.35">
      <c r="A78" s="7" t="s">
        <v>18</v>
      </c>
      <c r="B78" t="s">
        <v>22</v>
      </c>
      <c r="C78">
        <v>6.0895616608321603</v>
      </c>
      <c r="D78">
        <v>36.833091528714334</v>
      </c>
      <c r="E78" t="b">
        <v>0</v>
      </c>
      <c r="F78" s="7" t="b">
        <v>0</v>
      </c>
      <c r="G78" t="str">
        <f t="shared" si="1"/>
        <v>CORRETTO</v>
      </c>
      <c r="H78">
        <v>35</v>
      </c>
      <c r="I78">
        <v>111.51</v>
      </c>
    </row>
    <row r="79" spans="1:9" x14ac:dyDescent="0.35">
      <c r="A79" s="7" t="s">
        <v>19</v>
      </c>
      <c r="B79" t="s">
        <v>27</v>
      </c>
      <c r="C79">
        <v>7.7173004121873845</v>
      </c>
      <c r="D79">
        <v>36.893690051946592</v>
      </c>
      <c r="E79" t="b">
        <v>0</v>
      </c>
      <c r="F79" s="7" t="b">
        <v>0</v>
      </c>
      <c r="G79" t="str">
        <f t="shared" si="1"/>
        <v>CORRETTO</v>
      </c>
      <c r="H79">
        <v>28</v>
      </c>
      <c r="I79">
        <v>87.23</v>
      </c>
    </row>
    <row r="80" spans="1:9" x14ac:dyDescent="0.35">
      <c r="A80" s="7" t="s">
        <v>16</v>
      </c>
      <c r="B80" t="s">
        <v>26</v>
      </c>
      <c r="C80">
        <v>15.4198124313588</v>
      </c>
      <c r="D80">
        <v>37.053458440441375</v>
      </c>
      <c r="E80" t="b">
        <v>0</v>
      </c>
      <c r="F80" s="7" t="b">
        <v>0</v>
      </c>
      <c r="G80" t="str">
        <f t="shared" si="1"/>
        <v>CORRETTO</v>
      </c>
      <c r="H80">
        <v>70</v>
      </c>
      <c r="I80">
        <v>159.44</v>
      </c>
    </row>
    <row r="81" spans="1:9" x14ac:dyDescent="0.35">
      <c r="A81" s="7" t="s">
        <v>16</v>
      </c>
      <c r="B81" t="s">
        <v>27</v>
      </c>
      <c r="C81">
        <v>15.4198124313588</v>
      </c>
      <c r="D81">
        <v>37.279961354312398</v>
      </c>
      <c r="E81" t="b">
        <v>0</v>
      </c>
      <c r="F81" s="7" t="b">
        <v>0</v>
      </c>
      <c r="G81" t="str">
        <f t="shared" si="1"/>
        <v>CORRETTO</v>
      </c>
      <c r="H81">
        <v>70</v>
      </c>
      <c r="I81">
        <v>159.44</v>
      </c>
    </row>
    <row r="82" spans="1:9" x14ac:dyDescent="0.35">
      <c r="A82" s="7" t="s">
        <v>19</v>
      </c>
      <c r="B82" t="s">
        <v>26</v>
      </c>
      <c r="C82">
        <v>7.7173004121873845</v>
      </c>
      <c r="D82">
        <v>37.604479404879967</v>
      </c>
      <c r="E82" t="b">
        <v>0</v>
      </c>
      <c r="F82" s="7" t="b">
        <v>0</v>
      </c>
      <c r="G82" t="str">
        <f t="shared" si="1"/>
        <v>CORRETTO</v>
      </c>
      <c r="H82">
        <v>28</v>
      </c>
      <c r="I82">
        <v>87.23</v>
      </c>
    </row>
    <row r="83" spans="1:9" x14ac:dyDescent="0.35">
      <c r="A83" s="7" t="s">
        <v>20</v>
      </c>
      <c r="B83" t="s">
        <v>21</v>
      </c>
      <c r="C83">
        <v>2.089313715208398</v>
      </c>
      <c r="D83">
        <v>37.868706113959419</v>
      </c>
      <c r="E83" t="b">
        <v>1</v>
      </c>
      <c r="F83" s="7" t="b">
        <v>1</v>
      </c>
      <c r="G83" t="str">
        <f t="shared" si="1"/>
        <v>CORRETTO</v>
      </c>
      <c r="H83">
        <v>70</v>
      </c>
      <c r="I83">
        <v>168.68</v>
      </c>
    </row>
    <row r="84" spans="1:9" x14ac:dyDescent="0.35">
      <c r="A84" s="7" t="s">
        <v>19</v>
      </c>
      <c r="B84" t="s">
        <v>25</v>
      </c>
      <c r="C84">
        <v>7.7173004121873845</v>
      </c>
      <c r="D84">
        <v>38.337381620728259</v>
      </c>
      <c r="E84" t="b">
        <v>0</v>
      </c>
      <c r="F84" s="7" t="b">
        <v>0</v>
      </c>
      <c r="G84" t="str">
        <f t="shared" si="1"/>
        <v>CORRETTO</v>
      </c>
      <c r="H84">
        <v>28</v>
      </c>
      <c r="I84">
        <v>87.23</v>
      </c>
    </row>
    <row r="85" spans="1:9" x14ac:dyDescent="0.35">
      <c r="A85" s="7" t="s">
        <v>20</v>
      </c>
      <c r="B85" t="s">
        <v>22</v>
      </c>
      <c r="C85">
        <v>2.089313715208398</v>
      </c>
      <c r="D85">
        <v>38.466189320242961</v>
      </c>
      <c r="E85" t="b">
        <v>0</v>
      </c>
      <c r="F85" s="7" t="b">
        <v>0</v>
      </c>
      <c r="G85" t="str">
        <f t="shared" si="1"/>
        <v>CORRETTO</v>
      </c>
      <c r="H85">
        <v>70</v>
      </c>
      <c r="I85">
        <v>168.68</v>
      </c>
    </row>
    <row r="86" spans="1:9" x14ac:dyDescent="0.35">
      <c r="A86" s="7" t="s">
        <v>19</v>
      </c>
      <c r="B86" t="s">
        <v>22</v>
      </c>
      <c r="C86">
        <v>7.7173004121873845</v>
      </c>
      <c r="D86">
        <v>39.151214010627619</v>
      </c>
      <c r="E86" t="b">
        <v>0</v>
      </c>
      <c r="F86" s="7" t="b">
        <v>0</v>
      </c>
      <c r="G86" t="str">
        <f t="shared" si="1"/>
        <v>CORRETTO</v>
      </c>
      <c r="H86">
        <v>28</v>
      </c>
      <c r="I86">
        <v>87.23</v>
      </c>
    </row>
    <row r="87" spans="1:9" x14ac:dyDescent="0.35">
      <c r="A87" s="7" t="s">
        <v>16</v>
      </c>
      <c r="B87" t="s">
        <v>22</v>
      </c>
      <c r="C87">
        <v>15.4198124313588</v>
      </c>
      <c r="D87">
        <v>39.292123615615843</v>
      </c>
      <c r="E87" t="b">
        <v>0</v>
      </c>
      <c r="F87" s="7" t="b">
        <v>0</v>
      </c>
      <c r="G87" t="str">
        <f t="shared" si="1"/>
        <v>CORRETTO</v>
      </c>
      <c r="H87">
        <v>70</v>
      </c>
      <c r="I87">
        <v>159.44</v>
      </c>
    </row>
    <row r="88" spans="1:9" x14ac:dyDescent="0.35">
      <c r="A88" s="7" t="s">
        <v>20</v>
      </c>
      <c r="B88" t="s">
        <v>25</v>
      </c>
      <c r="C88">
        <v>2.089313715208398</v>
      </c>
      <c r="D88">
        <v>39.739959503965281</v>
      </c>
      <c r="E88" t="b">
        <v>0</v>
      </c>
      <c r="F88" s="7" t="b">
        <v>0</v>
      </c>
      <c r="G88" t="str">
        <f t="shared" si="1"/>
        <v>CORRETTO</v>
      </c>
      <c r="H88">
        <v>70</v>
      </c>
      <c r="I88">
        <v>168.68</v>
      </c>
    </row>
    <row r="89" spans="1:9" x14ac:dyDescent="0.35">
      <c r="A89" s="7" t="s">
        <v>20</v>
      </c>
      <c r="B89" t="s">
        <v>26</v>
      </c>
      <c r="C89">
        <v>2.089313715208398</v>
      </c>
      <c r="D89">
        <v>39.786934079884979</v>
      </c>
      <c r="E89" t="b">
        <v>0</v>
      </c>
      <c r="F89" s="7" t="b">
        <v>0</v>
      </c>
      <c r="G89" t="str">
        <f t="shared" si="1"/>
        <v>CORRETTO</v>
      </c>
      <c r="H89">
        <v>70</v>
      </c>
      <c r="I89">
        <v>168.68</v>
      </c>
    </row>
    <row r="90" spans="1:9" x14ac:dyDescent="0.35">
      <c r="A90" s="7" t="s">
        <v>11</v>
      </c>
      <c r="B90" t="s">
        <v>21</v>
      </c>
      <c r="C90">
        <v>5.440613761347123</v>
      </c>
      <c r="D90">
        <v>39.82686101201962</v>
      </c>
      <c r="E90" t="b">
        <v>0</v>
      </c>
      <c r="F90" s="7" t="b">
        <v>0</v>
      </c>
      <c r="G90" t="str">
        <f t="shared" si="1"/>
        <v>CORRETTO</v>
      </c>
      <c r="H90">
        <v>18</v>
      </c>
      <c r="I90">
        <v>91.29</v>
      </c>
    </row>
    <row r="91" spans="1:9" x14ac:dyDescent="0.35">
      <c r="A91" s="7" t="s">
        <v>20</v>
      </c>
      <c r="B91" t="s">
        <v>27</v>
      </c>
      <c r="C91">
        <v>2.089313715208398</v>
      </c>
      <c r="D91">
        <v>39.828860272745644</v>
      </c>
      <c r="E91" t="b">
        <v>0</v>
      </c>
      <c r="F91" s="7" t="b">
        <v>0</v>
      </c>
      <c r="G91" t="str">
        <f t="shared" si="1"/>
        <v>CORRETTO</v>
      </c>
      <c r="H91">
        <v>70</v>
      </c>
      <c r="I91">
        <v>168.68</v>
      </c>
    </row>
    <row r="92" spans="1:9" x14ac:dyDescent="0.35">
      <c r="A92" s="7" t="s">
        <v>20</v>
      </c>
      <c r="B92" t="s">
        <v>23</v>
      </c>
      <c r="C92">
        <v>2.089313715208398</v>
      </c>
      <c r="D92">
        <v>39.933641238758909</v>
      </c>
      <c r="E92" t="b">
        <v>0</v>
      </c>
      <c r="F92" s="7" t="b">
        <v>0</v>
      </c>
      <c r="G92" t="str">
        <f t="shared" si="1"/>
        <v>CORRETTO</v>
      </c>
      <c r="H92">
        <v>70</v>
      </c>
      <c r="I92">
        <v>168.68</v>
      </c>
    </row>
    <row r="93" spans="1:9" x14ac:dyDescent="0.35">
      <c r="A93" s="7" t="s">
        <v>20</v>
      </c>
      <c r="B93" t="s">
        <v>24</v>
      </c>
      <c r="C93">
        <v>2.089313715208398</v>
      </c>
      <c r="D93">
        <v>39.958019829167817</v>
      </c>
      <c r="E93" t="b">
        <v>0</v>
      </c>
      <c r="F93" s="7" t="b">
        <v>0</v>
      </c>
      <c r="G93" t="str">
        <f t="shared" si="1"/>
        <v>CORRETTO</v>
      </c>
      <c r="H93">
        <v>70</v>
      </c>
      <c r="I93">
        <v>168.68</v>
      </c>
    </row>
    <row r="94" spans="1:9" x14ac:dyDescent="0.35">
      <c r="A94" s="8" t="s">
        <v>9</v>
      </c>
      <c r="B94" t="s">
        <v>22</v>
      </c>
      <c r="C94">
        <v>6.9107731320791288E-2</v>
      </c>
      <c r="D94">
        <v>40.129656025454075</v>
      </c>
      <c r="E94" t="b">
        <v>0</v>
      </c>
      <c r="F94" s="1" t="b">
        <v>0</v>
      </c>
      <c r="G94" t="str">
        <f t="shared" si="1"/>
        <v>CORRETTO</v>
      </c>
      <c r="H94">
        <v>50</v>
      </c>
      <c r="I94">
        <v>141.83000000000001</v>
      </c>
    </row>
    <row r="95" spans="1:9" x14ac:dyDescent="0.35">
      <c r="A95" t="s">
        <v>9</v>
      </c>
      <c r="B95" t="s">
        <v>21</v>
      </c>
      <c r="C95">
        <v>6.9107731320791288E-2</v>
      </c>
      <c r="D95">
        <v>40.145833171463458</v>
      </c>
      <c r="E95" t="b">
        <v>0</v>
      </c>
      <c r="F95" s="2" t="b">
        <v>0</v>
      </c>
      <c r="G95" t="str">
        <f t="shared" si="1"/>
        <v>CORRETTO</v>
      </c>
      <c r="H95">
        <v>50</v>
      </c>
      <c r="I95">
        <v>141.83000000000001</v>
      </c>
    </row>
    <row r="96" spans="1:9" x14ac:dyDescent="0.35">
      <c r="A96" t="s">
        <v>9</v>
      </c>
      <c r="B96" t="s">
        <v>24</v>
      </c>
      <c r="C96">
        <v>6.9107731320791288E-2</v>
      </c>
      <c r="D96">
        <v>40.162021071193585</v>
      </c>
      <c r="E96" t="b">
        <v>0</v>
      </c>
      <c r="F96" s="2" t="b">
        <v>0</v>
      </c>
      <c r="G96" t="str">
        <f t="shared" si="1"/>
        <v>CORRETTO</v>
      </c>
      <c r="H96">
        <v>50</v>
      </c>
      <c r="I96">
        <v>141.83000000000001</v>
      </c>
    </row>
    <row r="97" spans="1:9" x14ac:dyDescent="0.35">
      <c r="A97" t="s">
        <v>9</v>
      </c>
      <c r="B97" t="s">
        <v>27</v>
      </c>
      <c r="C97">
        <v>6.9107731320791288E-2</v>
      </c>
      <c r="D97">
        <v>40.163328896542708</v>
      </c>
      <c r="E97" t="b">
        <v>0</v>
      </c>
      <c r="F97" s="2" t="b">
        <v>0</v>
      </c>
      <c r="G97" t="str">
        <f t="shared" si="1"/>
        <v>CORRETTO</v>
      </c>
      <c r="H97">
        <v>50</v>
      </c>
      <c r="I97">
        <v>141.83000000000001</v>
      </c>
    </row>
    <row r="98" spans="1:9" x14ac:dyDescent="0.35">
      <c r="A98" t="s">
        <v>9</v>
      </c>
      <c r="B98" t="s">
        <v>26</v>
      </c>
      <c r="C98">
        <v>6.9107731320791288E-2</v>
      </c>
      <c r="D98">
        <v>40.170623015461061</v>
      </c>
      <c r="E98" t="b">
        <v>0</v>
      </c>
      <c r="F98" s="2" t="b">
        <v>0</v>
      </c>
      <c r="G98" t="str">
        <f t="shared" si="1"/>
        <v>CORRETTO</v>
      </c>
      <c r="H98">
        <v>50</v>
      </c>
      <c r="I98">
        <v>141.83000000000001</v>
      </c>
    </row>
    <row r="99" spans="1:9" x14ac:dyDescent="0.35">
      <c r="A99" t="s">
        <v>9</v>
      </c>
      <c r="B99" t="s">
        <v>25</v>
      </c>
      <c r="C99">
        <v>6.9107731320791288E-2</v>
      </c>
      <c r="D99">
        <v>40.17364891713968</v>
      </c>
      <c r="E99" t="b">
        <v>0</v>
      </c>
      <c r="F99" s="2" t="b">
        <v>0</v>
      </c>
      <c r="G99" t="str">
        <f t="shared" si="1"/>
        <v>CORRETTO</v>
      </c>
      <c r="H99">
        <v>50</v>
      </c>
      <c r="I99">
        <v>141.83000000000001</v>
      </c>
    </row>
    <row r="100" spans="1:9" x14ac:dyDescent="0.35">
      <c r="A100" t="s">
        <v>9</v>
      </c>
      <c r="B100" t="s">
        <v>23</v>
      </c>
      <c r="C100">
        <v>6.9107731320791288E-2</v>
      </c>
      <c r="D100">
        <v>40.198763756774866</v>
      </c>
      <c r="E100" t="b">
        <v>0</v>
      </c>
      <c r="F100" s="2" t="b">
        <v>0</v>
      </c>
      <c r="G100" t="str">
        <f t="shared" si="1"/>
        <v>CORRETTO</v>
      </c>
      <c r="H100">
        <v>50</v>
      </c>
      <c r="I100">
        <v>141.83000000000001</v>
      </c>
    </row>
    <row r="101" spans="1:9" x14ac:dyDescent="0.35">
      <c r="A101" s="8" t="s">
        <v>12</v>
      </c>
      <c r="B101" t="s">
        <v>24</v>
      </c>
      <c r="C101">
        <v>0.40430917847839254</v>
      </c>
      <c r="D101">
        <v>42.534428701046672</v>
      </c>
      <c r="E101" t="b">
        <v>0</v>
      </c>
      <c r="F101" s="1" t="b">
        <v>0</v>
      </c>
      <c r="G101" t="str">
        <f t="shared" si="1"/>
        <v>CORRETTO</v>
      </c>
      <c r="H101">
        <v>40</v>
      </c>
      <c r="I101">
        <v>115.75</v>
      </c>
    </row>
    <row r="102" spans="1:9" x14ac:dyDescent="0.35">
      <c r="A102" t="s">
        <v>12</v>
      </c>
      <c r="B102" t="s">
        <v>21</v>
      </c>
      <c r="C102">
        <v>0.40430917847839254</v>
      </c>
      <c r="D102">
        <v>42.711315893078179</v>
      </c>
      <c r="E102" t="b">
        <v>0</v>
      </c>
      <c r="F102" s="2" t="b">
        <v>0</v>
      </c>
      <c r="G102" t="str">
        <f t="shared" si="1"/>
        <v>CORRETTO</v>
      </c>
      <c r="H102">
        <v>40</v>
      </c>
      <c r="I102">
        <v>115.75</v>
      </c>
    </row>
    <row r="103" spans="1:9" x14ac:dyDescent="0.35">
      <c r="A103" t="s">
        <v>12</v>
      </c>
      <c r="B103" t="s">
        <v>23</v>
      </c>
      <c r="C103">
        <v>0.40430917847839254</v>
      </c>
      <c r="D103">
        <v>42.728162135911631</v>
      </c>
      <c r="E103" t="b">
        <v>0</v>
      </c>
      <c r="F103" s="2" t="b">
        <v>0</v>
      </c>
      <c r="G103" t="str">
        <f t="shared" si="1"/>
        <v>CORRETTO</v>
      </c>
      <c r="H103">
        <v>40</v>
      </c>
      <c r="I103">
        <v>115.75</v>
      </c>
    </row>
    <row r="104" spans="1:9" x14ac:dyDescent="0.35">
      <c r="A104" t="s">
        <v>12</v>
      </c>
      <c r="B104" t="s">
        <v>25</v>
      </c>
      <c r="C104">
        <v>0.40430917847839254</v>
      </c>
      <c r="D104">
        <v>42.728162135911631</v>
      </c>
      <c r="E104" t="b">
        <v>0</v>
      </c>
      <c r="F104" s="2" t="b">
        <v>0</v>
      </c>
      <c r="G104" t="str">
        <f t="shared" si="1"/>
        <v>CORRETTO</v>
      </c>
      <c r="H104">
        <v>40</v>
      </c>
      <c r="I104">
        <v>115.75</v>
      </c>
    </row>
    <row r="105" spans="1:9" x14ac:dyDescent="0.35">
      <c r="A105" t="s">
        <v>12</v>
      </c>
      <c r="B105" t="s">
        <v>26</v>
      </c>
      <c r="C105">
        <v>0.40430917847839254</v>
      </c>
      <c r="D105">
        <v>42.833450537997194</v>
      </c>
      <c r="E105" t="b">
        <v>0</v>
      </c>
      <c r="F105" s="2" t="b">
        <v>0</v>
      </c>
      <c r="G105" t="str">
        <f t="shared" si="1"/>
        <v>CORRETTO</v>
      </c>
      <c r="H105">
        <v>40</v>
      </c>
      <c r="I105">
        <v>115.75</v>
      </c>
    </row>
    <row r="106" spans="1:9" x14ac:dyDescent="0.35">
      <c r="A106" t="s">
        <v>12</v>
      </c>
      <c r="B106" t="s">
        <v>27</v>
      </c>
      <c r="C106">
        <v>0.40430917847839254</v>
      </c>
      <c r="D106">
        <v>42.833450537997194</v>
      </c>
      <c r="E106" t="b">
        <v>0</v>
      </c>
      <c r="F106" s="2" t="b">
        <v>0</v>
      </c>
      <c r="G106" t="str">
        <f t="shared" si="1"/>
        <v>CORRETTO</v>
      </c>
      <c r="H106">
        <v>40</v>
      </c>
      <c r="I106">
        <v>115.75</v>
      </c>
    </row>
    <row r="107" spans="1:9" x14ac:dyDescent="0.35">
      <c r="A107" t="s">
        <v>12</v>
      </c>
      <c r="B107" t="s">
        <v>22</v>
      </c>
      <c r="C107">
        <v>0.40430917847839254</v>
      </c>
      <c r="D107">
        <v>42.938737879525064</v>
      </c>
      <c r="E107" t="b">
        <v>0</v>
      </c>
      <c r="F107" s="2" t="b">
        <v>0</v>
      </c>
      <c r="G107" t="str">
        <f t="shared" si="1"/>
        <v>CORRETTO</v>
      </c>
      <c r="H107">
        <v>40</v>
      </c>
      <c r="I107">
        <v>115.75</v>
      </c>
    </row>
    <row r="108" spans="1:9" x14ac:dyDescent="0.35">
      <c r="A108" s="7" t="s">
        <v>11</v>
      </c>
      <c r="B108" t="s">
        <v>24</v>
      </c>
      <c r="C108">
        <v>5.440613761347123</v>
      </c>
      <c r="D108">
        <v>43.037552396657858</v>
      </c>
      <c r="E108" t="b">
        <v>0</v>
      </c>
      <c r="F108" s="7" t="b">
        <v>0</v>
      </c>
      <c r="G108" t="str">
        <f t="shared" si="1"/>
        <v>CORRETTO</v>
      </c>
      <c r="H108">
        <v>18</v>
      </c>
      <c r="I108">
        <v>91.29</v>
      </c>
    </row>
    <row r="109" spans="1:9" x14ac:dyDescent="0.35">
      <c r="A109" s="7" t="s">
        <v>11</v>
      </c>
      <c r="B109" t="s">
        <v>22</v>
      </c>
      <c r="C109">
        <v>5.440613761347123</v>
      </c>
      <c r="D109">
        <v>43.568877088224845</v>
      </c>
      <c r="E109" t="b">
        <v>0</v>
      </c>
      <c r="F109" s="7" t="b">
        <v>0</v>
      </c>
      <c r="G109" t="str">
        <f t="shared" si="1"/>
        <v>CORRETTO</v>
      </c>
      <c r="H109">
        <v>18</v>
      </c>
      <c r="I109">
        <v>91.29</v>
      </c>
    </row>
    <row r="110" spans="1:9" x14ac:dyDescent="0.35">
      <c r="A110" s="7" t="s">
        <v>11</v>
      </c>
      <c r="B110" t="s">
        <v>23</v>
      </c>
      <c r="C110">
        <v>5.440613761347123</v>
      </c>
      <c r="D110">
        <v>43.668292538098775</v>
      </c>
      <c r="E110" t="b">
        <v>0</v>
      </c>
      <c r="F110" s="7" t="b">
        <v>0</v>
      </c>
      <c r="G110" t="str">
        <f t="shared" si="1"/>
        <v>CORRETTO</v>
      </c>
      <c r="H110">
        <v>18</v>
      </c>
      <c r="I110">
        <v>91.29</v>
      </c>
    </row>
    <row r="111" spans="1:9" x14ac:dyDescent="0.35">
      <c r="A111" s="7" t="s">
        <v>11</v>
      </c>
      <c r="B111" t="s">
        <v>27</v>
      </c>
      <c r="C111">
        <v>5.440613761347123</v>
      </c>
      <c r="D111">
        <v>43.77004414281123</v>
      </c>
      <c r="E111" t="b">
        <v>0</v>
      </c>
      <c r="F111" s="7" t="b">
        <v>0</v>
      </c>
      <c r="G111" t="str">
        <f t="shared" si="1"/>
        <v>CORRETTO</v>
      </c>
      <c r="H111">
        <v>18</v>
      </c>
      <c r="I111">
        <v>91.29</v>
      </c>
    </row>
    <row r="112" spans="1:9" x14ac:dyDescent="0.35">
      <c r="A112" s="7" t="s">
        <v>11</v>
      </c>
      <c r="B112" t="s">
        <v>25</v>
      </c>
      <c r="C112">
        <v>5.440613761347123</v>
      </c>
      <c r="D112">
        <v>44.878457488199906</v>
      </c>
      <c r="E112" t="b">
        <v>0</v>
      </c>
      <c r="F112" s="7" t="b">
        <v>0</v>
      </c>
      <c r="G112" t="str">
        <f t="shared" si="1"/>
        <v>CORRETTO</v>
      </c>
      <c r="H112">
        <v>18</v>
      </c>
      <c r="I112">
        <v>91.29</v>
      </c>
    </row>
    <row r="113" spans="1:9" x14ac:dyDescent="0.35">
      <c r="A113" s="8" t="s">
        <v>3</v>
      </c>
      <c r="B113" t="s">
        <v>23</v>
      </c>
      <c r="C113">
        <v>0.80508067595705057</v>
      </c>
      <c r="D113">
        <v>45.132906243688396</v>
      </c>
      <c r="E113" t="b">
        <v>0</v>
      </c>
      <c r="F113" s="1" t="b">
        <v>0</v>
      </c>
      <c r="G113" t="str">
        <f t="shared" si="1"/>
        <v>CORRETTO</v>
      </c>
      <c r="H113">
        <v>40</v>
      </c>
      <c r="I113">
        <v>107.34</v>
      </c>
    </row>
    <row r="114" spans="1:9" x14ac:dyDescent="0.35">
      <c r="A114" s="7" t="s">
        <v>11</v>
      </c>
      <c r="B114" t="s">
        <v>26</v>
      </c>
      <c r="C114">
        <v>5.440613761347123</v>
      </c>
      <c r="D114">
        <v>45.267474773366743</v>
      </c>
      <c r="E114" t="b">
        <v>0</v>
      </c>
      <c r="F114" s="7" t="b">
        <v>0</v>
      </c>
      <c r="G114" t="str">
        <f t="shared" si="1"/>
        <v>CORRETTO</v>
      </c>
      <c r="H114">
        <v>18</v>
      </c>
      <c r="I114">
        <v>91.29</v>
      </c>
    </row>
    <row r="115" spans="1:9" x14ac:dyDescent="0.35">
      <c r="A115" t="s">
        <v>3</v>
      </c>
      <c r="B115" t="s">
        <v>26</v>
      </c>
      <c r="C115">
        <v>0.80508067595705057</v>
      </c>
      <c r="D115">
        <v>45.504827445053266</v>
      </c>
      <c r="E115" t="b">
        <v>0</v>
      </c>
      <c r="F115" s="2" t="b">
        <v>0</v>
      </c>
      <c r="G115" t="str">
        <f t="shared" si="1"/>
        <v>CORRETTO</v>
      </c>
      <c r="H115">
        <v>40</v>
      </c>
      <c r="I115">
        <v>107.34</v>
      </c>
    </row>
    <row r="116" spans="1:9" x14ac:dyDescent="0.35">
      <c r="A116" t="s">
        <v>3</v>
      </c>
      <c r="B116" t="s">
        <v>22</v>
      </c>
      <c r="C116">
        <v>0.80508067595705057</v>
      </c>
      <c r="D116">
        <v>45.56451133659764</v>
      </c>
      <c r="E116" t="b">
        <v>0</v>
      </c>
      <c r="F116" s="2" t="b">
        <v>0</v>
      </c>
      <c r="G116" t="str">
        <f t="shared" si="1"/>
        <v>CORRETTO</v>
      </c>
      <c r="H116">
        <v>40</v>
      </c>
      <c r="I116">
        <v>107.34</v>
      </c>
    </row>
    <row r="117" spans="1:9" x14ac:dyDescent="0.35">
      <c r="A117" t="s">
        <v>3</v>
      </c>
      <c r="B117" t="s">
        <v>21</v>
      </c>
      <c r="C117">
        <v>0.80508067595705057</v>
      </c>
      <c r="D117">
        <v>45.652237716838542</v>
      </c>
      <c r="E117" t="b">
        <v>0</v>
      </c>
      <c r="F117" s="2" t="b">
        <v>0</v>
      </c>
      <c r="G117" t="str">
        <f t="shared" si="1"/>
        <v>CORRETTO</v>
      </c>
      <c r="H117">
        <v>40</v>
      </c>
      <c r="I117">
        <v>107.34</v>
      </c>
    </row>
    <row r="118" spans="1:9" x14ac:dyDescent="0.35">
      <c r="A118" t="s">
        <v>3</v>
      </c>
      <c r="B118" t="s">
        <v>25</v>
      </c>
      <c r="C118">
        <v>0.80508067595705057</v>
      </c>
      <c r="D118">
        <v>45.663954626641214</v>
      </c>
      <c r="E118" t="b">
        <v>0</v>
      </c>
      <c r="F118" s="2" t="b">
        <v>0</v>
      </c>
      <c r="G118" t="str">
        <f t="shared" si="1"/>
        <v>CORRETTO</v>
      </c>
      <c r="H118">
        <v>40</v>
      </c>
      <c r="I118">
        <v>107.34</v>
      </c>
    </row>
    <row r="119" spans="1:9" x14ac:dyDescent="0.35">
      <c r="A119" t="s">
        <v>3</v>
      </c>
      <c r="B119" t="s">
        <v>24</v>
      </c>
      <c r="C119">
        <v>0.80508067595705057</v>
      </c>
      <c r="D119">
        <v>45.677786785943681</v>
      </c>
      <c r="E119" t="b">
        <v>0</v>
      </c>
      <c r="F119" s="2" t="b">
        <v>0</v>
      </c>
      <c r="G119" t="str">
        <f t="shared" si="1"/>
        <v>CORRETTO</v>
      </c>
      <c r="H119">
        <v>40</v>
      </c>
      <c r="I119">
        <v>107.34</v>
      </c>
    </row>
    <row r="120" spans="1:9" x14ac:dyDescent="0.35">
      <c r="A120" t="s">
        <v>3</v>
      </c>
      <c r="B120" t="s">
        <v>27</v>
      </c>
      <c r="C120">
        <v>0.80508067595705057</v>
      </c>
      <c r="D120">
        <v>45.937986919645446</v>
      </c>
      <c r="E120" t="b">
        <v>0</v>
      </c>
      <c r="F120" s="2" t="b">
        <v>0</v>
      </c>
      <c r="G120" t="str">
        <f t="shared" si="1"/>
        <v>CORRETTO</v>
      </c>
      <c r="H120">
        <v>40</v>
      </c>
      <c r="I120">
        <v>107.34</v>
      </c>
    </row>
    <row r="121" spans="1:9" x14ac:dyDescent="0.35">
      <c r="A121" s="8" t="s">
        <v>6</v>
      </c>
      <c r="B121" t="s">
        <v>23</v>
      </c>
      <c r="C121">
        <v>0.98778925113909111</v>
      </c>
      <c r="D121">
        <v>49.545376555653938</v>
      </c>
      <c r="E121" t="b">
        <v>0</v>
      </c>
      <c r="F121" s="1" t="b">
        <v>0</v>
      </c>
      <c r="G121" t="str">
        <f t="shared" si="1"/>
        <v>CORRETTO</v>
      </c>
      <c r="H121">
        <v>19.5</v>
      </c>
      <c r="I121">
        <v>74.23</v>
      </c>
    </row>
    <row r="122" spans="1:9" x14ac:dyDescent="0.35">
      <c r="A122" t="s">
        <v>6</v>
      </c>
      <c r="B122" t="s">
        <v>21</v>
      </c>
      <c r="C122">
        <v>0.98778925113909111</v>
      </c>
      <c r="D122">
        <v>49.802777927196701</v>
      </c>
      <c r="E122" t="b">
        <v>0</v>
      </c>
      <c r="F122" s="2" t="b">
        <v>0</v>
      </c>
      <c r="G122" t="str">
        <f t="shared" si="1"/>
        <v>CORRETTO</v>
      </c>
      <c r="H122">
        <v>19.5</v>
      </c>
      <c r="I122">
        <v>74.23</v>
      </c>
    </row>
    <row r="123" spans="1:9" x14ac:dyDescent="0.35">
      <c r="A123" t="s">
        <v>6</v>
      </c>
      <c r="B123" t="s">
        <v>24</v>
      </c>
      <c r="C123">
        <v>0.98778925113909111</v>
      </c>
      <c r="D123">
        <v>49.822874350175752</v>
      </c>
      <c r="E123" t="b">
        <v>0</v>
      </c>
      <c r="F123" s="2" t="b">
        <v>0</v>
      </c>
      <c r="G123" t="str">
        <f t="shared" si="1"/>
        <v>CORRETTO</v>
      </c>
      <c r="H123">
        <v>19.5</v>
      </c>
      <c r="I123">
        <v>74.23</v>
      </c>
    </row>
    <row r="124" spans="1:9" x14ac:dyDescent="0.35">
      <c r="A124" t="s">
        <v>6</v>
      </c>
      <c r="B124" t="s">
        <v>27</v>
      </c>
      <c r="C124">
        <v>0.98778925113909111</v>
      </c>
      <c r="D124">
        <v>49.938219351809281</v>
      </c>
      <c r="E124" t="b">
        <v>0</v>
      </c>
      <c r="F124" s="2" t="b">
        <v>0</v>
      </c>
      <c r="G124" t="str">
        <f t="shared" si="1"/>
        <v>CORRETTO</v>
      </c>
      <c r="H124">
        <v>19.5</v>
      </c>
      <c r="I124">
        <v>74.23</v>
      </c>
    </row>
    <row r="125" spans="1:9" x14ac:dyDescent="0.35">
      <c r="A125" t="s">
        <v>6</v>
      </c>
      <c r="B125" t="s">
        <v>22</v>
      </c>
      <c r="C125">
        <v>0.98778925113909111</v>
      </c>
      <c r="D125">
        <v>50.198912485855551</v>
      </c>
      <c r="E125" t="b">
        <v>0</v>
      </c>
      <c r="F125" s="2" t="b">
        <v>0</v>
      </c>
      <c r="G125" t="str">
        <f t="shared" si="1"/>
        <v>CORRETTO</v>
      </c>
      <c r="H125">
        <v>19.5</v>
      </c>
      <c r="I125">
        <v>74.23</v>
      </c>
    </row>
    <row r="126" spans="1:9" x14ac:dyDescent="0.35">
      <c r="A126" t="s">
        <v>6</v>
      </c>
      <c r="B126" t="s">
        <v>25</v>
      </c>
      <c r="C126">
        <v>0.98778925113909111</v>
      </c>
      <c r="D126">
        <v>50.530793849331033</v>
      </c>
      <c r="E126" t="b">
        <v>0</v>
      </c>
      <c r="F126" s="2" t="b">
        <v>0</v>
      </c>
      <c r="G126" t="str">
        <f t="shared" si="1"/>
        <v>CORRETTO</v>
      </c>
      <c r="H126">
        <v>19.5</v>
      </c>
      <c r="I126">
        <v>74.23</v>
      </c>
    </row>
    <row r="127" spans="1:9" x14ac:dyDescent="0.35">
      <c r="A127" t="s">
        <v>6</v>
      </c>
      <c r="B127" t="s">
        <v>26</v>
      </c>
      <c r="C127">
        <v>0.98778925113909111</v>
      </c>
      <c r="D127">
        <v>50.533165806793029</v>
      </c>
      <c r="E127" t="b">
        <v>0</v>
      </c>
      <c r="F127" s="2" t="b">
        <v>0</v>
      </c>
      <c r="G127" t="str">
        <f t="shared" si="1"/>
        <v>CORRETTO</v>
      </c>
      <c r="H127">
        <v>19.5</v>
      </c>
      <c r="I127">
        <v>74.23</v>
      </c>
    </row>
    <row r="128" spans="1:9" x14ac:dyDescent="0.35">
      <c r="A128" s="7" t="s">
        <v>5</v>
      </c>
      <c r="B128" t="s">
        <v>26</v>
      </c>
      <c r="C128">
        <v>7.0577567757510309</v>
      </c>
      <c r="D128">
        <v>55.86172639574464</v>
      </c>
      <c r="E128" t="b">
        <v>0</v>
      </c>
      <c r="F128" s="7" t="b">
        <v>0</v>
      </c>
      <c r="G128" t="str">
        <f t="shared" si="1"/>
        <v>CORRETTO</v>
      </c>
      <c r="H128">
        <v>50</v>
      </c>
      <c r="I128">
        <v>128.88999999999999</v>
      </c>
    </row>
    <row r="129" spans="1:9" x14ac:dyDescent="0.35">
      <c r="A129" s="7" t="s">
        <v>5</v>
      </c>
      <c r="B129" t="s">
        <v>21</v>
      </c>
      <c r="C129">
        <v>7.0577567757510309</v>
      </c>
      <c r="D129">
        <v>58.150662596863185</v>
      </c>
      <c r="E129" t="b">
        <v>0</v>
      </c>
      <c r="F129" s="7" t="b">
        <v>0</v>
      </c>
      <c r="G129" t="str">
        <f t="shared" si="1"/>
        <v>CORRETTO</v>
      </c>
      <c r="H129">
        <v>50</v>
      </c>
      <c r="I129">
        <v>128.88999999999999</v>
      </c>
    </row>
    <row r="130" spans="1:9" x14ac:dyDescent="0.35">
      <c r="A130" s="7" t="s">
        <v>5</v>
      </c>
      <c r="B130" t="s">
        <v>24</v>
      </c>
      <c r="C130">
        <v>7.0577567757510309</v>
      </c>
      <c r="D130">
        <v>58.246627139403174</v>
      </c>
      <c r="E130" t="b">
        <v>0</v>
      </c>
      <c r="F130" s="7" t="b">
        <v>0</v>
      </c>
      <c r="G130" t="str">
        <f t="shared" si="1"/>
        <v>CORRETTO</v>
      </c>
      <c r="H130">
        <v>50</v>
      </c>
      <c r="I130">
        <v>128.88999999999999</v>
      </c>
    </row>
    <row r="131" spans="1:9" x14ac:dyDescent="0.35">
      <c r="A131" s="7" t="s">
        <v>5</v>
      </c>
      <c r="B131" t="s">
        <v>23</v>
      </c>
      <c r="C131">
        <v>7.0577567757510309</v>
      </c>
      <c r="D131">
        <v>62.398849353253624</v>
      </c>
      <c r="E131" t="b">
        <v>0</v>
      </c>
      <c r="F131" s="7" t="b">
        <v>0</v>
      </c>
      <c r="G131" t="str">
        <f t="shared" ref="G131:G134" si="2">IF(F131=E131,"CORRETTO","SBAGLIATO")</f>
        <v>CORRETTO</v>
      </c>
      <c r="H131">
        <v>50</v>
      </c>
      <c r="I131">
        <v>128.88999999999999</v>
      </c>
    </row>
    <row r="132" spans="1:9" x14ac:dyDescent="0.35">
      <c r="A132" s="7" t="s">
        <v>5</v>
      </c>
      <c r="B132" t="s">
        <v>22</v>
      </c>
      <c r="C132">
        <v>7.0577567757510309</v>
      </c>
      <c r="D132">
        <v>62.855464361409005</v>
      </c>
      <c r="E132" t="b">
        <v>0</v>
      </c>
      <c r="F132" s="7" t="b">
        <v>0</v>
      </c>
      <c r="G132" t="str">
        <f t="shared" si="2"/>
        <v>CORRETTO</v>
      </c>
      <c r="H132">
        <v>50</v>
      </c>
      <c r="I132">
        <v>128.88999999999999</v>
      </c>
    </row>
    <row r="133" spans="1:9" x14ac:dyDescent="0.35">
      <c r="A133" s="7" t="s">
        <v>5</v>
      </c>
      <c r="B133" t="s">
        <v>27</v>
      </c>
      <c r="C133">
        <v>7.0577567757510309</v>
      </c>
      <c r="D133">
        <v>62.870005655952497</v>
      </c>
      <c r="E133" t="b">
        <v>0</v>
      </c>
      <c r="F133" s="7" t="b">
        <v>0</v>
      </c>
      <c r="G133" t="str">
        <f t="shared" si="2"/>
        <v>CORRETTO</v>
      </c>
      <c r="H133">
        <v>50</v>
      </c>
      <c r="I133">
        <v>128.88999999999999</v>
      </c>
    </row>
    <row r="134" spans="1:9" x14ac:dyDescent="0.35">
      <c r="A134" s="7" t="s">
        <v>5</v>
      </c>
      <c r="B134" t="s">
        <v>25</v>
      </c>
      <c r="C134">
        <v>7.0577567757510309</v>
      </c>
      <c r="D134">
        <v>62.919483171495671</v>
      </c>
      <c r="E134" t="b">
        <v>0</v>
      </c>
      <c r="F134" s="7" t="b">
        <v>0</v>
      </c>
      <c r="G134" t="str">
        <f t="shared" si="2"/>
        <v>CORRETTO</v>
      </c>
      <c r="H134">
        <v>50</v>
      </c>
      <c r="I134">
        <v>128.88999999999999</v>
      </c>
    </row>
  </sheetData>
  <sortState xmlns:xlrd2="http://schemas.microsoft.com/office/spreadsheetml/2017/richdata2" ref="A2:E134">
    <sortCondition ref="D2:D134"/>
  </sortState>
  <conditionalFormatting sqref="G2:G134">
    <cfRule type="cellIs" dxfId="0" priority="1" operator="lessThan">
      <formula>$G$2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CARMINATI</dc:creator>
  <cp:lastModifiedBy>LUCA CARMINATI</cp:lastModifiedBy>
  <dcterms:created xsi:type="dcterms:W3CDTF">2025-10-27T19:37:31Z</dcterms:created>
  <dcterms:modified xsi:type="dcterms:W3CDTF">2025-11-06T19:50:08Z</dcterms:modified>
</cp:coreProperties>
</file>