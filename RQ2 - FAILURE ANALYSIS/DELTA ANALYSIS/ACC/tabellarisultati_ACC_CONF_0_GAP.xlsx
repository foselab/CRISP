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RQ2 - FAILURE ANALYSIS\DELTA ANALYSIS\ACC\"/>
    </mc:Choice>
  </mc:AlternateContent>
  <xr:revisionPtr revIDLastSave="0" documentId="13_ncr:1_{C9414EB9-EF37-4904-9958-5E97B934CFC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Q30" i="1"/>
  <c r="Q29" i="1"/>
  <c r="Q28" i="1"/>
  <c r="Q27" i="1"/>
  <c r="Q2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  <c r="I7" i="1"/>
  <c r="J21" i="1"/>
  <c r="K26" i="1"/>
  <c r="K28" i="1"/>
  <c r="K27" i="1"/>
  <c r="I24" i="1"/>
  <c r="I2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M21" i="1"/>
  <c r="L21" i="1"/>
  <c r="K21" i="1"/>
  <c r="H14" i="1"/>
  <c r="I14" i="1" s="1"/>
  <c r="I9" i="1"/>
  <c r="I10" i="1"/>
  <c r="I11" i="1"/>
  <c r="I12" i="1"/>
  <c r="I13" i="1"/>
  <c r="I15" i="1"/>
  <c r="I16" i="1"/>
  <c r="I17" i="1"/>
  <c r="I18" i="1"/>
  <c r="I19" i="1"/>
  <c r="I20" i="1"/>
  <c r="H20" i="1"/>
  <c r="G20" i="1"/>
  <c r="H19" i="1"/>
  <c r="G19" i="1"/>
  <c r="H18" i="1"/>
  <c r="G18" i="1"/>
  <c r="H17" i="1"/>
  <c r="G17" i="1"/>
  <c r="H16" i="1"/>
  <c r="G16" i="1"/>
  <c r="H15" i="1"/>
  <c r="G15" i="1"/>
  <c r="G14" i="1"/>
  <c r="H13" i="1"/>
  <c r="G13" i="1"/>
  <c r="H12" i="1"/>
  <c r="G12" i="1"/>
  <c r="H11" i="1"/>
  <c r="G11" i="1"/>
  <c r="H10" i="1"/>
  <c r="G10" i="1"/>
  <c r="H9" i="1"/>
  <c r="G9" i="1"/>
  <c r="I5" i="1"/>
  <c r="I6" i="1"/>
  <c r="I8" i="1"/>
  <c r="H8" i="1"/>
  <c r="G8" i="1"/>
  <c r="H7" i="1"/>
  <c r="G7" i="1"/>
  <c r="H6" i="1"/>
  <c r="G6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<sst xmlns="http://schemas.openxmlformats.org/spreadsheetml/2006/main" count="329" uniqueCount="50">
  <si>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</si>
  <si>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</si>
  <si>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</si>
  <si>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</si>
  <si>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</si>
  <si>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</si>
  <si>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</si>
  <si>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</si>
  <si>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</si>
  <si>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</si>
  <si>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</si>
  <si>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</si>
  <si>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</si>
  <si>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</si>
  <si>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</si>
  <si>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</si>
  <si>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</si>
  <si>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</si>
  <si>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</si>
  <si>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</si>
  <si>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</si>
  <si>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</si>
  <si>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</si>
  <si>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</si>
  <si>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</si>
  <si>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</si>
  <si>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</si>
  <si>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</si>
  <si>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</si>
  <si>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MAX FITNESS</t>
  </si>
  <si>
    <t>MIN FITNESS</t>
  </si>
  <si>
    <t>DELTA</t>
  </si>
  <si>
    <t>FAILURE OTA 1</t>
  </si>
  <si>
    <t>FAILURE OTA 2</t>
  </si>
  <si>
    <t>TOTAL FAULTS</t>
  </si>
  <si>
    <t>MEDIA</t>
  </si>
  <si>
    <t>MEDIANA</t>
  </si>
  <si>
    <t>CORRELAZIONE DELTA-FAULT -&gt;</t>
  </si>
  <si>
    <t>CORRELAZIONE MIN-FAULT -&gt;</t>
  </si>
  <si>
    <t xml:space="preserve"> </t>
  </si>
  <si>
    <t>CORRELAZIONE MAX-FAULT-&gt;</t>
  </si>
  <si>
    <t>RANGO DELTA</t>
  </si>
  <si>
    <t>RANGO FAULT</t>
  </si>
  <si>
    <t>T statistic:</t>
  </si>
  <si>
    <t xml:space="preserve">DF: </t>
  </si>
  <si>
    <t>p-value:</t>
  </si>
  <si>
    <t xml:space="preserve">N: </t>
  </si>
  <si>
    <t>SPEARMAN CORRELATION-&gt;</t>
  </si>
  <si>
    <t xml:space="preserve">SPEARMAN CORRELATION MIN-FAULT -&gt; </t>
  </si>
  <si>
    <t>RANGO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</si>
</sst>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6A6A"/>
        <bgColor indexed="64"/>
      </patternFill>
    </fill>
    <fill>
      <patternFill patternType="solid">
        <fgColor rgb="FF8BFF9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8BFF9C"/>
      <color rgb="FFFFFFFF"/>
      <color rgb="FFFE6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selection activeCell="C29" sqref="C29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33.1796875" bestFit="1" customWidth="1"/>
    <col min="7" max="8" width="11.81640625" bestFit="1" customWidth="1"/>
    <col min="9" max="10" width="12.7265625" bestFit="1" customWidth="1"/>
    <col min="11" max="11" width="13.54296875" bestFit="1" customWidth="1"/>
    <col min="12" max="12" width="13.1796875" bestFit="1" customWidth="1"/>
    <col min="14" max="14" width="33.1796875" bestFit="1" customWidth="1"/>
    <col min="15" max="15" width="12.7265625" bestFit="1" customWidth="1"/>
    <col min="16" max="16" width="12.6328125" bestFit="1" customWidth="1"/>
    <col min="17" max="17" width="11.81640625" bestFit="1" customWidth="1"/>
  </cols>
  <sheetData>
    <row r="1" spans="1:17" x14ac:dyDescent="0.35">
      <c r="A1" t="s">
        <v>0</v>
      </c>
      <c r="B1" t="s">
        <v>20</v>
      </c>
      <c r="C1" t="s">
        <v>28</v>
      </c>
      <c r="F1" s="1" t="s">
        <v>0</v>
      </c>
      <c r="G1" s="2" t="s">
        <v>29</v>
      </c>
      <c r="H1" s="3" t="s">
        <v>30</v>
      </c>
      <c r="I1" s="4" t="s">
        <v>31</v>
      </c>
      <c r="J1" s="8" t="s">
        <v>34</v>
      </c>
      <c r="K1" s="5" t="s">
        <v>32</v>
      </c>
      <c r="L1" s="5" t="s">
        <v>33</v>
      </c>
      <c r="O1" s="4" t="s">
        <v>41</v>
      </c>
      <c r="P1" s="8" t="s">
        <v>42</v>
      </c>
      <c r="Q1" s="3" t="s">
        <v>49</v>
      </c>
    </row>
    <row r="2" spans="1:17" x14ac:dyDescent="0.35">
      <c r="A2" t="s">
        <v>11</v>
      </c>
      <c r="B2" t="s">
        <v>21</v>
      </c>
      <c r="C2">
        <v>1.5489126819161925</v>
      </c>
      <c r="F2" t="s">
        <v>11</v>
      </c>
      <c r="G2">
        <f>MAX(C2:C8)</f>
        <v>8.9322110515803281</v>
      </c>
      <c r="H2">
        <f>MIN(C2:C8)</f>
        <v>0.16205155047752129</v>
      </c>
      <c r="I2" s="6">
        <f>G2-H2</f>
        <v>8.7701595011028068</v>
      </c>
      <c r="J2">
        <f>SUM(K2:L2)</f>
        <v>4</v>
      </c>
      <c r="K2">
        <v>3</v>
      </c>
      <c r="L2">
        <v>1</v>
      </c>
      <c r="N2" t="s">
        <v>11</v>
      </c>
      <c r="O2">
        <f>_xlfn.RANK.AVG(I2,$I$2:$I$20)</f>
        <v>5</v>
      </c>
      <c r="P2">
        <f>_xlfn.RANK.AVG(J2,$J$2:$J$20)</f>
        <v>7</v>
      </c>
      <c r="Q2">
        <f>_xlfn.RANK.AVG(H2,$H$2:$H$20)</f>
        <v>19</v>
      </c>
    </row>
    <row r="3" spans="1:17" x14ac:dyDescent="0.35">
      <c r="A3" t="s">
        <v>11</v>
      </c>
      <c r="B3" t="s">
        <v>22</v>
      </c>
      <c r="C3">
        <v>3.1801175660202858</v>
      </c>
      <c r="F3" t="s">
        <v>12</v>
      </c>
      <c r="G3">
        <f>MAX(C9:C15)</f>
        <v>45.937986919645446</v>
      </c>
      <c r="H3">
        <f>MIN(C9:C15)</f>
        <v>45.132906243688396</v>
      </c>
      <c r="I3" s="7">
        <f>G3-H3</f>
        <v>0.80508067595705057</v>
      </c>
      <c r="J3">
        <f t="shared" ref="J3:J20" si="0">SUM(K3:L3)</f>
        <v>0</v>
      </c>
      <c r="K3">
        <v>0</v>
      </c>
      <c r="L3">
        <v>0</v>
      </c>
      <c r="N3" t="s">
        <v>12</v>
      </c>
      <c r="O3">
        <f t="shared" ref="O3:O20" si="1">_xlfn.RANK.AVG(I3,$I$2:$I$20)</f>
        <v>14</v>
      </c>
      <c r="P3">
        <f t="shared" ref="P3:P20" si="2">_xlfn.RANK.AVG(J3,$J$2:$J$20)</f>
        <v>16</v>
      </c>
      <c r="Q3">
        <f t="shared" ref="Q3:Q20" si="3">_xlfn.RANK.AVG(H3,$H$2:$H$20)</f>
        <v>3</v>
      </c>
    </row>
    <row r="4" spans="1:17" x14ac:dyDescent="0.35">
      <c r="A4" t="s">
        <v>11</v>
      </c>
      <c r="B4" t="s">
        <v>23</v>
      </c>
      <c r="C4">
        <v>0.16205155047752129</v>
      </c>
      <c r="F4" t="s">
        <v>4</v>
      </c>
      <c r="G4">
        <f>MAX(C16:C22)</f>
        <v>33.230648809378437</v>
      </c>
      <c r="H4">
        <f>MIN(C16:C22)</f>
        <v>4.9667712560198929</v>
      </c>
      <c r="I4" s="6">
        <f>G4-H4</f>
        <v>28.263877553358544</v>
      </c>
      <c r="J4">
        <f t="shared" si="0"/>
        <v>7</v>
      </c>
      <c r="K4">
        <v>7</v>
      </c>
      <c r="L4">
        <v>0</v>
      </c>
      <c r="N4" t="s">
        <v>4</v>
      </c>
      <c r="O4">
        <f t="shared" si="1"/>
        <v>2</v>
      </c>
      <c r="P4">
        <f t="shared" si="2"/>
        <v>4.5</v>
      </c>
      <c r="Q4">
        <f t="shared" si="3"/>
        <v>17</v>
      </c>
    </row>
    <row r="5" spans="1:17" x14ac:dyDescent="0.35">
      <c r="A5" t="s">
        <v>11</v>
      </c>
      <c r="B5" t="s">
        <v>24</v>
      </c>
      <c r="C5">
        <v>8.9322110515803281</v>
      </c>
      <c r="F5" t="s">
        <v>15</v>
      </c>
      <c r="G5">
        <f>MAX(C23:C29)</f>
        <v>62.919483171495671</v>
      </c>
      <c r="H5">
        <f>MIN(C23:C29)</f>
        <v>55.86172639574464</v>
      </c>
      <c r="I5" s="6">
        <f t="shared" ref="I5:I20" si="4">G5-H5</f>
        <v>7.0577567757510309</v>
      </c>
      <c r="J5">
        <f t="shared" si="0"/>
        <v>3</v>
      </c>
      <c r="K5">
        <v>3</v>
      </c>
      <c r="L5">
        <v>0</v>
      </c>
      <c r="N5" t="s">
        <v>15</v>
      </c>
      <c r="O5">
        <f t="shared" si="1"/>
        <v>7</v>
      </c>
      <c r="P5">
        <f t="shared" si="2"/>
        <v>8</v>
      </c>
      <c r="Q5">
        <f t="shared" si="3"/>
        <v>1</v>
      </c>
    </row>
    <row r="6" spans="1:17" x14ac:dyDescent="0.35">
      <c r="A6" t="s">
        <v>11</v>
      </c>
      <c r="B6" t="s">
        <v>25</v>
      </c>
      <c r="C6">
        <v>1.0123281619967823</v>
      </c>
      <c r="F6" t="s">
        <v>6</v>
      </c>
      <c r="G6">
        <f>MAX(C30:C36)</f>
        <v>50.533165806793029</v>
      </c>
      <c r="H6">
        <f>MIN(C30:C36)</f>
        <v>49.545376555653938</v>
      </c>
      <c r="I6" s="7">
        <f t="shared" si="4"/>
        <v>0.98778925113909111</v>
      </c>
      <c r="J6">
        <f t="shared" si="0"/>
        <v>0</v>
      </c>
      <c r="K6">
        <v>0</v>
      </c>
      <c r="L6">
        <v>0</v>
      </c>
      <c r="N6" t="s">
        <v>6</v>
      </c>
      <c r="O6">
        <f t="shared" si="1"/>
        <v>12</v>
      </c>
      <c r="P6">
        <f t="shared" si="2"/>
        <v>16</v>
      </c>
      <c r="Q6">
        <f t="shared" si="3"/>
        <v>2</v>
      </c>
    </row>
    <row r="7" spans="1:17" x14ac:dyDescent="0.35">
      <c r="A7" t="s">
        <v>11</v>
      </c>
      <c r="B7" t="s">
        <v>26</v>
      </c>
      <c r="C7">
        <v>2.121290899109983</v>
      </c>
      <c r="F7" t="s">
        <v>8</v>
      </c>
      <c r="G7">
        <f>MAX(C37:C43)</f>
        <v>17.27836072827979</v>
      </c>
      <c r="H7">
        <f>MIN(C37:C43)</f>
        <v>15.451335109607399</v>
      </c>
      <c r="I7" s="6">
        <f>G7-H7</f>
        <v>1.8270256186723906</v>
      </c>
      <c r="J7">
        <f t="shared" si="0"/>
        <v>14</v>
      </c>
      <c r="K7">
        <v>7</v>
      </c>
      <c r="L7">
        <v>7</v>
      </c>
      <c r="N7" t="s">
        <v>8</v>
      </c>
      <c r="O7">
        <f t="shared" si="1"/>
        <v>11</v>
      </c>
      <c r="P7">
        <f t="shared" si="2"/>
        <v>1.5</v>
      </c>
      <c r="Q7">
        <f t="shared" si="3"/>
        <v>14</v>
      </c>
    </row>
    <row r="8" spans="1:17" x14ac:dyDescent="0.35">
      <c r="A8" t="s">
        <v>11</v>
      </c>
      <c r="B8" t="s">
        <v>27</v>
      </c>
      <c r="C8">
        <v>4.3428914615965386</v>
      </c>
      <c r="F8" t="s">
        <v>5</v>
      </c>
      <c r="G8">
        <f>MAX(C44:C50)</f>
        <v>30.97983851013975</v>
      </c>
      <c r="H8">
        <f>MIN(C44:C50)</f>
        <v>30.755956303763455</v>
      </c>
      <c r="I8" s="7">
        <f t="shared" si="4"/>
        <v>0.2238822063762953</v>
      </c>
      <c r="J8">
        <f t="shared" si="0"/>
        <v>0</v>
      </c>
      <c r="K8">
        <v>0</v>
      </c>
      <c r="L8">
        <v>0</v>
      </c>
      <c r="N8" t="s">
        <v>5</v>
      </c>
      <c r="O8">
        <f t="shared" si="1"/>
        <v>18</v>
      </c>
      <c r="P8">
        <f t="shared" si="2"/>
        <v>16</v>
      </c>
      <c r="Q8">
        <f t="shared" si="3"/>
        <v>9</v>
      </c>
    </row>
    <row r="9" spans="1:17" x14ac:dyDescent="0.35">
      <c r="A9" t="s">
        <v>12</v>
      </c>
      <c r="B9" t="s">
        <v>21</v>
      </c>
      <c r="C9">
        <v>45.652237716838542</v>
      </c>
      <c r="F9" t="s">
        <v>1</v>
      </c>
      <c r="G9">
        <f>MAX(C51:C57)</f>
        <v>40.198763756774866</v>
      </c>
      <c r="H9">
        <f>MIN(C51:C57)</f>
        <v>40.129656025454075</v>
      </c>
      <c r="I9" s="7">
        <f t="shared" si="4"/>
        <v>6.9107731320791288E-2</v>
      </c>
      <c r="J9">
        <f t="shared" si="0"/>
        <v>0</v>
      </c>
      <c r="K9">
        <v>0</v>
      </c>
      <c r="L9">
        <v>0</v>
      </c>
      <c r="N9" t="s">
        <v>1</v>
      </c>
      <c r="O9">
        <f t="shared" si="1"/>
        <v>19</v>
      </c>
      <c r="P9">
        <f t="shared" si="2"/>
        <v>16</v>
      </c>
      <c r="Q9">
        <f t="shared" si="3"/>
        <v>5</v>
      </c>
    </row>
    <row r="10" spans="1:17" x14ac:dyDescent="0.35">
      <c r="A10" t="s">
        <v>12</v>
      </c>
      <c r="B10" t="s">
        <v>22</v>
      </c>
      <c r="C10">
        <v>45.56451133659764</v>
      </c>
      <c r="F10" t="s">
        <v>10</v>
      </c>
      <c r="G10">
        <f>MAX(C58:C64)</f>
        <v>29.177177027689382</v>
      </c>
      <c r="H10">
        <f>MIN(C58:C64)</f>
        <v>28.564850035905799</v>
      </c>
      <c r="I10" s="7">
        <f t="shared" si="4"/>
        <v>0.61232699178358274</v>
      </c>
      <c r="J10">
        <f t="shared" si="0"/>
        <v>7</v>
      </c>
      <c r="K10">
        <v>0</v>
      </c>
      <c r="L10">
        <v>7</v>
      </c>
      <c r="N10" t="s">
        <v>10</v>
      </c>
      <c r="O10">
        <f t="shared" si="1"/>
        <v>16</v>
      </c>
      <c r="P10">
        <f t="shared" si="2"/>
        <v>4.5</v>
      </c>
      <c r="Q10">
        <f t="shared" si="3"/>
        <v>12</v>
      </c>
    </row>
    <row r="11" spans="1:17" x14ac:dyDescent="0.35">
      <c r="A11" t="s">
        <v>12</v>
      </c>
      <c r="B11" t="s">
        <v>23</v>
      </c>
      <c r="C11">
        <v>45.132906243688396</v>
      </c>
      <c r="F11" t="s">
        <v>9</v>
      </c>
      <c r="G11">
        <f>MAX(C65:C71)</f>
        <v>45.267474773366743</v>
      </c>
      <c r="H11">
        <f>MIN(C65:C71)</f>
        <v>39.82686101201962</v>
      </c>
      <c r="I11" s="6">
        <f t="shared" si="4"/>
        <v>5.440613761347123</v>
      </c>
      <c r="J11">
        <f t="shared" si="0"/>
        <v>1</v>
      </c>
      <c r="K11">
        <v>1</v>
      </c>
      <c r="L11">
        <v>0</v>
      </c>
      <c r="N11" t="s">
        <v>9</v>
      </c>
      <c r="O11">
        <f t="shared" si="1"/>
        <v>9</v>
      </c>
      <c r="P11">
        <f t="shared" si="2"/>
        <v>11.5</v>
      </c>
      <c r="Q11">
        <f t="shared" si="3"/>
        <v>6</v>
      </c>
    </row>
    <row r="12" spans="1:17" x14ac:dyDescent="0.35">
      <c r="A12" t="s">
        <v>12</v>
      </c>
      <c r="B12" t="s">
        <v>24</v>
      </c>
      <c r="C12">
        <v>45.677786785943681</v>
      </c>
      <c r="F12" t="s">
        <v>19</v>
      </c>
      <c r="G12">
        <f>MAX(C72:C78)</f>
        <v>42.938737879525064</v>
      </c>
      <c r="H12">
        <f>MIN(C72:C78)</f>
        <v>42.534428701046672</v>
      </c>
      <c r="I12" s="7">
        <f t="shared" si="4"/>
        <v>0.40430917847839254</v>
      </c>
      <c r="J12">
        <f t="shared" si="0"/>
        <v>0</v>
      </c>
      <c r="K12">
        <v>0</v>
      </c>
      <c r="L12">
        <v>0</v>
      </c>
      <c r="N12" t="s">
        <v>19</v>
      </c>
      <c r="O12">
        <f t="shared" si="1"/>
        <v>17</v>
      </c>
      <c r="P12">
        <f t="shared" si="2"/>
        <v>16</v>
      </c>
      <c r="Q12">
        <f t="shared" si="3"/>
        <v>4</v>
      </c>
    </row>
    <row r="13" spans="1:17" x14ac:dyDescent="0.35">
      <c r="A13" t="s">
        <v>12</v>
      </c>
      <c r="B13" t="s">
        <v>25</v>
      </c>
      <c r="C13">
        <v>45.663954626641214</v>
      </c>
      <c r="F13" t="s">
        <v>7</v>
      </c>
      <c r="G13">
        <f>MAX(C79:C85)</f>
        <v>29.959742399498104</v>
      </c>
      <c r="H13">
        <f>MIN(C79:C85)</f>
        <v>29.242332461396487</v>
      </c>
      <c r="I13" s="7">
        <f t="shared" si="4"/>
        <v>0.71740993810161768</v>
      </c>
      <c r="J13">
        <f t="shared" si="0"/>
        <v>0</v>
      </c>
      <c r="K13">
        <v>0</v>
      </c>
      <c r="L13">
        <v>0</v>
      </c>
      <c r="N13" t="s">
        <v>7</v>
      </c>
      <c r="O13">
        <f t="shared" si="1"/>
        <v>15</v>
      </c>
      <c r="P13">
        <f t="shared" si="2"/>
        <v>16</v>
      </c>
      <c r="Q13">
        <f t="shared" si="3"/>
        <v>11</v>
      </c>
    </row>
    <row r="14" spans="1:17" x14ac:dyDescent="0.35">
      <c r="A14" t="s">
        <v>12</v>
      </c>
      <c r="B14" t="s">
        <v>26</v>
      </c>
      <c r="C14">
        <v>45.504827445053266</v>
      </c>
      <c r="F14" t="s">
        <v>3</v>
      </c>
      <c r="G14">
        <f>MAX(C86:C92)</f>
        <v>26.568991997452919</v>
      </c>
      <c r="H14">
        <f>MIN(C86:C92)</f>
        <v>10.439338970348871</v>
      </c>
      <c r="I14" s="6">
        <f t="shared" si="4"/>
        <v>16.129653027104048</v>
      </c>
      <c r="J14">
        <f t="shared" si="0"/>
        <v>14</v>
      </c>
      <c r="K14">
        <v>7</v>
      </c>
      <c r="L14">
        <v>7</v>
      </c>
      <c r="N14" t="s">
        <v>3</v>
      </c>
      <c r="O14">
        <f t="shared" si="1"/>
        <v>3</v>
      </c>
      <c r="P14">
        <f t="shared" si="2"/>
        <v>1.5</v>
      </c>
      <c r="Q14">
        <f t="shared" si="3"/>
        <v>16</v>
      </c>
    </row>
    <row r="15" spans="1:17" x14ac:dyDescent="0.35">
      <c r="A15" t="s">
        <v>12</v>
      </c>
      <c r="B15" t="s">
        <v>27</v>
      </c>
      <c r="C15">
        <v>45.937986919645446</v>
      </c>
      <c r="F15" t="s">
        <v>2</v>
      </c>
      <c r="G15">
        <f>MAX(C93:C99)</f>
        <v>32.892167691786639</v>
      </c>
      <c r="H15">
        <f>MIN(C93:C99)</f>
        <v>2.4033488390879221</v>
      </c>
      <c r="I15" s="6">
        <f t="shared" si="4"/>
        <v>30.488818852698717</v>
      </c>
      <c r="J15">
        <f t="shared" si="0"/>
        <v>1</v>
      </c>
      <c r="K15">
        <v>1</v>
      </c>
      <c r="L15">
        <v>0</v>
      </c>
      <c r="N15" t="s">
        <v>2</v>
      </c>
      <c r="O15">
        <f t="shared" si="1"/>
        <v>1</v>
      </c>
      <c r="P15">
        <f t="shared" si="2"/>
        <v>11.5</v>
      </c>
      <c r="Q15">
        <f t="shared" si="3"/>
        <v>18</v>
      </c>
    </row>
    <row r="16" spans="1:17" x14ac:dyDescent="0.35">
      <c r="A16" t="s">
        <v>4</v>
      </c>
      <c r="B16" t="s">
        <v>21</v>
      </c>
      <c r="C16">
        <v>33.229882279081274</v>
      </c>
      <c r="F16" t="s">
        <v>16</v>
      </c>
      <c r="G16">
        <f>MAX(C100:C106)</f>
        <v>39.292123615615843</v>
      </c>
      <c r="H16">
        <f>MIN(C100:C106)</f>
        <v>23.872311184257043</v>
      </c>
      <c r="I16" s="6">
        <f t="shared" si="4"/>
        <v>15.4198124313588</v>
      </c>
      <c r="J16">
        <f t="shared" si="0"/>
        <v>7</v>
      </c>
      <c r="K16">
        <v>7</v>
      </c>
      <c r="L16">
        <v>0</v>
      </c>
      <c r="N16" t="s">
        <v>16</v>
      </c>
      <c r="O16">
        <f t="shared" si="1"/>
        <v>4</v>
      </c>
      <c r="P16">
        <f t="shared" si="2"/>
        <v>4.5</v>
      </c>
      <c r="Q16">
        <f t="shared" si="3"/>
        <v>13</v>
      </c>
    </row>
    <row r="17" spans="1:17" x14ac:dyDescent="0.35">
      <c r="A17" t="s">
        <v>4</v>
      </c>
      <c r="B17" t="s">
        <v>22</v>
      </c>
      <c r="C17">
        <v>33.203020544767703</v>
      </c>
      <c r="F17" t="s">
        <v>13</v>
      </c>
      <c r="G17">
        <f>MAX(C107:C113)</f>
        <v>14.88749186516911</v>
      </c>
      <c r="H17">
        <f>MIN(C107:C113)</f>
        <v>13.941492071541887</v>
      </c>
      <c r="I17" s="7">
        <f t="shared" si="4"/>
        <v>0.94599979362722308</v>
      </c>
      <c r="J17">
        <f t="shared" si="0"/>
        <v>7</v>
      </c>
      <c r="K17">
        <v>7</v>
      </c>
      <c r="L17">
        <v>0</v>
      </c>
      <c r="N17" t="s">
        <v>13</v>
      </c>
      <c r="O17">
        <f t="shared" si="1"/>
        <v>13</v>
      </c>
      <c r="P17">
        <f t="shared" si="2"/>
        <v>4.5</v>
      </c>
      <c r="Q17">
        <f t="shared" si="3"/>
        <v>15</v>
      </c>
    </row>
    <row r="18" spans="1:17" x14ac:dyDescent="0.35">
      <c r="A18" t="s">
        <v>4</v>
      </c>
      <c r="B18" t="s">
        <v>23</v>
      </c>
      <c r="C18">
        <v>27.398325126422456</v>
      </c>
      <c r="F18" t="s">
        <v>18</v>
      </c>
      <c r="G18">
        <f>MAX(C114:C120)</f>
        <v>36.833091528714334</v>
      </c>
      <c r="H18">
        <f>MIN(C114:C120)</f>
        <v>30.743529867882174</v>
      </c>
      <c r="I18" s="6">
        <f t="shared" si="4"/>
        <v>6.0895616608321603</v>
      </c>
      <c r="J18">
        <f t="shared" si="0"/>
        <v>0</v>
      </c>
      <c r="K18">
        <v>0</v>
      </c>
      <c r="L18">
        <v>0</v>
      </c>
      <c r="N18" t="s">
        <v>18</v>
      </c>
      <c r="O18">
        <f t="shared" si="1"/>
        <v>8</v>
      </c>
      <c r="P18">
        <f t="shared" si="2"/>
        <v>16</v>
      </c>
      <c r="Q18">
        <f t="shared" si="3"/>
        <v>10</v>
      </c>
    </row>
    <row r="19" spans="1:17" x14ac:dyDescent="0.35">
      <c r="A19" t="s">
        <v>4</v>
      </c>
      <c r="B19" t="s">
        <v>24</v>
      </c>
      <c r="C19">
        <v>33.195935931757063</v>
      </c>
      <c r="F19" t="s">
        <v>17</v>
      </c>
      <c r="G19">
        <f>MAX(C121:C127)</f>
        <v>39.151214010627619</v>
      </c>
      <c r="H19">
        <f>MIN(C121:C127)</f>
        <v>31.433913598440235</v>
      </c>
      <c r="I19" s="6">
        <f t="shared" si="4"/>
        <v>7.7173004121873845</v>
      </c>
      <c r="J19">
        <f t="shared" si="0"/>
        <v>2</v>
      </c>
      <c r="K19">
        <v>2</v>
      </c>
      <c r="L19">
        <v>0</v>
      </c>
      <c r="N19" t="s">
        <v>17</v>
      </c>
      <c r="O19">
        <f t="shared" si="1"/>
        <v>6</v>
      </c>
      <c r="P19">
        <f t="shared" si="2"/>
        <v>9.5</v>
      </c>
      <c r="Q19">
        <f t="shared" si="3"/>
        <v>8</v>
      </c>
    </row>
    <row r="20" spans="1:17" x14ac:dyDescent="0.35">
      <c r="A20" t="s">
        <v>4</v>
      </c>
      <c r="B20" t="s">
        <v>25</v>
      </c>
      <c r="C20">
        <v>4.9667712560198929</v>
      </c>
      <c r="F20" t="s">
        <v>14</v>
      </c>
      <c r="G20">
        <f>MAX(C128:C134)</f>
        <v>39.958019829167817</v>
      </c>
      <c r="H20">
        <f>MIN(C128:C134)</f>
        <v>37.868706113959419</v>
      </c>
      <c r="I20" s="6">
        <f t="shared" si="4"/>
        <v>2.089313715208398</v>
      </c>
      <c r="J20">
        <f t="shared" si="0"/>
        <v>2</v>
      </c>
      <c r="K20">
        <v>1</v>
      </c>
      <c r="L20">
        <v>1</v>
      </c>
      <c r="N20" t="s">
        <v>14</v>
      </c>
      <c r="O20">
        <f t="shared" si="1"/>
        <v>10</v>
      </c>
      <c r="P20">
        <f t="shared" si="2"/>
        <v>9.5</v>
      </c>
      <c r="Q20">
        <f t="shared" si="3"/>
        <v>7</v>
      </c>
    </row>
    <row r="21" spans="1:17" x14ac:dyDescent="0.35">
      <c r="A21" t="s">
        <v>4</v>
      </c>
      <c r="B21" t="s">
        <v>26</v>
      </c>
      <c r="C21">
        <v>33.230648809378437</v>
      </c>
      <c r="J21">
        <f>SUM(J2:J20)</f>
        <v>69</v>
      </c>
      <c r="K21">
        <f>SUM(K2:K20)</f>
        <v>46</v>
      </c>
      <c r="L21">
        <f>SUM(L2:L20)</f>
        <v>23</v>
      </c>
      <c r="M21">
        <f>SUM(K21:L21)</f>
        <v>69</v>
      </c>
    </row>
    <row r="22" spans="1:17" x14ac:dyDescent="0.35">
      <c r="A22" t="s">
        <v>4</v>
      </c>
      <c r="B22" t="s">
        <v>27</v>
      </c>
      <c r="C22">
        <v>33.20362214184297</v>
      </c>
    </row>
    <row r="23" spans="1:17" x14ac:dyDescent="0.35">
      <c r="A23" t="s">
        <v>15</v>
      </c>
      <c r="B23" t="s">
        <v>21</v>
      </c>
      <c r="C23">
        <v>58.150662596863185</v>
      </c>
      <c r="H23" t="s">
        <v>35</v>
      </c>
      <c r="I23">
        <f>AVERAGE(I2:I20)</f>
        <v>7.0557788987581818</v>
      </c>
    </row>
    <row r="24" spans="1:17" x14ac:dyDescent="0.35">
      <c r="A24" t="s">
        <v>15</v>
      </c>
      <c r="B24" t="s">
        <v>22</v>
      </c>
      <c r="C24">
        <v>62.855464361409005</v>
      </c>
      <c r="H24" t="s">
        <v>36</v>
      </c>
      <c r="I24">
        <f>MEDIAN(I2:I20)</f>
        <v>2.089313715208398</v>
      </c>
    </row>
    <row r="25" spans="1:17" x14ac:dyDescent="0.35">
      <c r="A25" t="s">
        <v>15</v>
      </c>
      <c r="B25" t="s">
        <v>23</v>
      </c>
      <c r="C25">
        <v>62.398849353253624</v>
      </c>
    </row>
    <row r="26" spans="1:17" x14ac:dyDescent="0.35">
      <c r="A26" t="s">
        <v>15</v>
      </c>
      <c r="B26" t="s">
        <v>24</v>
      </c>
      <c r="C26">
        <v>58.246627139403174</v>
      </c>
      <c r="H26" s="9" t="s">
        <v>37</v>
      </c>
      <c r="I26" s="9"/>
      <c r="J26" s="9"/>
      <c r="K26">
        <f>CORREL(J2:J20,I2:I20)</f>
        <v>0.25450160220450097</v>
      </c>
      <c r="O26" s="10" t="s">
        <v>47</v>
      </c>
      <c r="P26" s="10"/>
      <c r="Q26">
        <f>CORREL(O2:O20,P2:P20)</f>
        <v>0.51495005078360534</v>
      </c>
    </row>
    <row r="27" spans="1:17" x14ac:dyDescent="0.35">
      <c r="A27" t="s">
        <v>15</v>
      </c>
      <c r="B27" t="s">
        <v>25</v>
      </c>
      <c r="C27">
        <v>62.919483171495671</v>
      </c>
      <c r="H27" s="9" t="s">
        <v>38</v>
      </c>
      <c r="I27" s="9"/>
      <c r="J27" s="9"/>
      <c r="K27">
        <f>CORREL(H2:H20,J2:J20)</f>
        <v>-0.54169679107474444</v>
      </c>
      <c r="P27" t="s">
        <v>46</v>
      </c>
      <c r="Q27">
        <f>COUNT(P2:P20)</f>
        <v>19</v>
      </c>
    </row>
    <row r="28" spans="1:17" x14ac:dyDescent="0.35">
      <c r="A28" t="s">
        <v>15</v>
      </c>
      <c r="B28" t="s">
        <v>26</v>
      </c>
      <c r="C28">
        <v>55.86172639574464</v>
      </c>
      <c r="G28" t="s">
        <v>39</v>
      </c>
      <c r="H28" s="9" t="s">
        <v>40</v>
      </c>
      <c r="I28" s="9"/>
      <c r="J28" s="9"/>
      <c r="K28">
        <f>CORREL(G2:G20,J2:J20)</f>
        <v>-0.50665542352091608</v>
      </c>
      <c r="P28" t="s">
        <v>43</v>
      </c>
      <c r="Q28">
        <f>(ABS(Q26)*SQRT(Q27-2))/(SQRT(1-ABS(Q26)^2))</f>
        <v>2.4768355773581492</v>
      </c>
    </row>
    <row r="29" spans="1:17" x14ac:dyDescent="0.35">
      <c r="A29" t="s">
        <v>15</v>
      </c>
      <c r="B29" t="s">
        <v>27</v>
      </c>
      <c r="C29">
        <v>62.870005655952497</v>
      </c>
      <c r="P29" t="s">
        <v>44</v>
      </c>
      <c r="Q29">
        <f>Q27-2</f>
        <v>17</v>
      </c>
    </row>
    <row r="30" spans="1:17" x14ac:dyDescent="0.35">
      <c r="A30" t="s">
        <v>6</v>
      </c>
      <c r="B30" t="s">
        <v>21</v>
      </c>
      <c r="C30">
        <v>49.802777927196701</v>
      </c>
      <c r="P30" t="s">
        <v>45</v>
      </c>
      <c r="Q30">
        <f>_xlfn.T.DIST.2T(Q28,Q29)</f>
        <v>2.4060486531011754E-2</v>
      </c>
    </row>
    <row r="31" spans="1:17" x14ac:dyDescent="0.35">
      <c r="A31" t="s">
        <v>6</v>
      </c>
      <c r="B31" t="s">
        <v>22</v>
      </c>
      <c r="C31">
        <v>50.198912485855551</v>
      </c>
      <c r="H31" s="10" t="s">
        <v>48</v>
      </c>
      <c r="I31" s="10"/>
      <c r="J31" s="10"/>
      <c r="K31">
        <f>CORREL(Q2:Q20,P2:P20)</f>
        <v>-0.60635594731988685</v>
      </c>
    </row>
    <row r="32" spans="1:17" x14ac:dyDescent="0.35">
      <c r="A32" t="s">
        <v>6</v>
      </c>
      <c r="B32" t="s">
        <v>23</v>
      </c>
      <c r="C32">
        <v>49.545376555653938</v>
      </c>
    </row>
    <row r="33" spans="1:3" x14ac:dyDescent="0.35">
      <c r="A33" t="s">
        <v>6</v>
      </c>
      <c r="B33" t="s">
        <v>24</v>
      </c>
      <c r="C33">
        <v>49.822874350175752</v>
      </c>
    </row>
    <row r="34" spans="1:3" x14ac:dyDescent="0.35">
      <c r="A34" t="s">
        <v>6</v>
      </c>
      <c r="B34" t="s">
        <v>25</v>
      </c>
      <c r="C34">
        <v>50.530793849331033</v>
      </c>
    </row>
    <row r="35" spans="1:3" x14ac:dyDescent="0.35">
      <c r="A35" t="s">
        <v>6</v>
      </c>
      <c r="B35" t="s">
        <v>26</v>
      </c>
      <c r="C35">
        <v>50.533165806793029</v>
      </c>
    </row>
    <row r="36" spans="1:3" x14ac:dyDescent="0.35">
      <c r="A36" t="s">
        <v>6</v>
      </c>
      <c r="B36" t="s">
        <v>27</v>
      </c>
      <c r="C36">
        <v>49.938219351809281</v>
      </c>
    </row>
    <row r="37" spans="1:3" x14ac:dyDescent="0.35">
      <c r="A37" t="s">
        <v>8</v>
      </c>
      <c r="B37" t="s">
        <v>21</v>
      </c>
      <c r="C37">
        <v>15.451335109607399</v>
      </c>
    </row>
    <row r="38" spans="1:3" x14ac:dyDescent="0.35">
      <c r="A38" t="s">
        <v>8</v>
      </c>
      <c r="B38" t="s">
        <v>22</v>
      </c>
      <c r="C38">
        <v>16.267993007157141</v>
      </c>
    </row>
    <row r="39" spans="1:3" x14ac:dyDescent="0.35">
      <c r="A39" t="s">
        <v>8</v>
      </c>
      <c r="B39" t="s">
        <v>23</v>
      </c>
      <c r="C39">
        <v>17.27836072827979</v>
      </c>
    </row>
    <row r="40" spans="1:3" x14ac:dyDescent="0.35">
      <c r="A40" t="s">
        <v>8</v>
      </c>
      <c r="B40" t="s">
        <v>24</v>
      </c>
      <c r="C40">
        <v>16.851411019931788</v>
      </c>
    </row>
    <row r="41" spans="1:3" x14ac:dyDescent="0.35">
      <c r="A41" t="s">
        <v>8</v>
      </c>
      <c r="B41" t="s">
        <v>25</v>
      </c>
      <c r="C41">
        <v>16.910167729826547</v>
      </c>
    </row>
    <row r="42" spans="1:3" x14ac:dyDescent="0.35">
      <c r="A42" t="s">
        <v>8</v>
      </c>
      <c r="B42" t="s">
        <v>26</v>
      </c>
      <c r="C42">
        <v>16.835580936498847</v>
      </c>
    </row>
    <row r="43" spans="1:3" x14ac:dyDescent="0.35">
      <c r="A43" t="s">
        <v>8</v>
      </c>
      <c r="B43" t="s">
        <v>27</v>
      </c>
      <c r="C43">
        <v>16.870495922603986</v>
      </c>
    </row>
    <row r="44" spans="1:3" x14ac:dyDescent="0.35">
      <c r="A44" t="s">
        <v>5</v>
      </c>
      <c r="B44" t="s">
        <v>21</v>
      </c>
      <c r="C44">
        <v>30.755956303763455</v>
      </c>
    </row>
    <row r="45" spans="1:3" x14ac:dyDescent="0.35">
      <c r="A45" t="s">
        <v>5</v>
      </c>
      <c r="B45" t="s">
        <v>22</v>
      </c>
      <c r="C45">
        <v>30.96665412533568</v>
      </c>
    </row>
    <row r="46" spans="1:3" x14ac:dyDescent="0.35">
      <c r="A46" t="s">
        <v>5</v>
      </c>
      <c r="B46" t="s">
        <v>23</v>
      </c>
      <c r="C46">
        <v>30.966712812186238</v>
      </c>
    </row>
    <row r="47" spans="1:3" x14ac:dyDescent="0.35">
      <c r="A47" t="s">
        <v>5</v>
      </c>
      <c r="B47" t="s">
        <v>24</v>
      </c>
      <c r="C47">
        <v>30.952523680957086</v>
      </c>
    </row>
    <row r="48" spans="1:3" x14ac:dyDescent="0.35">
      <c r="A48" t="s">
        <v>5</v>
      </c>
      <c r="B48" t="s">
        <v>25</v>
      </c>
      <c r="C48">
        <v>30.975353459770574</v>
      </c>
    </row>
    <row r="49" spans="1:3" x14ac:dyDescent="0.35">
      <c r="A49" t="s">
        <v>5</v>
      </c>
      <c r="B49" t="s">
        <v>26</v>
      </c>
      <c r="C49">
        <v>30.957105984381037</v>
      </c>
    </row>
    <row r="50" spans="1:3" x14ac:dyDescent="0.35">
      <c r="A50" t="s">
        <v>5</v>
      </c>
      <c r="B50" t="s">
        <v>27</v>
      </c>
      <c r="C50">
        <v>30.97983851013975</v>
      </c>
    </row>
    <row r="51" spans="1:3" x14ac:dyDescent="0.35">
      <c r="A51" t="s">
        <v>1</v>
      </c>
      <c r="B51" t="s">
        <v>21</v>
      </c>
      <c r="C51">
        <v>40.145833171463458</v>
      </c>
    </row>
    <row r="52" spans="1:3" x14ac:dyDescent="0.35">
      <c r="A52" t="s">
        <v>1</v>
      </c>
      <c r="B52" t="s">
        <v>22</v>
      </c>
      <c r="C52">
        <v>40.129656025454075</v>
      </c>
    </row>
    <row r="53" spans="1:3" x14ac:dyDescent="0.35">
      <c r="A53" t="s">
        <v>1</v>
      </c>
      <c r="B53" t="s">
        <v>23</v>
      </c>
      <c r="C53">
        <v>40.198763756774866</v>
      </c>
    </row>
    <row r="54" spans="1:3" x14ac:dyDescent="0.35">
      <c r="A54" t="s">
        <v>1</v>
      </c>
      <c r="B54" t="s">
        <v>24</v>
      </c>
      <c r="C54">
        <v>40.162021071193585</v>
      </c>
    </row>
    <row r="55" spans="1:3" x14ac:dyDescent="0.35">
      <c r="A55" t="s">
        <v>1</v>
      </c>
      <c r="B55" t="s">
        <v>25</v>
      </c>
      <c r="C55">
        <v>40.17364891713968</v>
      </c>
    </row>
    <row r="56" spans="1:3" x14ac:dyDescent="0.35">
      <c r="A56" t="s">
        <v>1</v>
      </c>
      <c r="B56" t="s">
        <v>26</v>
      </c>
      <c r="C56">
        <v>40.170623015461061</v>
      </c>
    </row>
    <row r="57" spans="1:3" x14ac:dyDescent="0.35">
      <c r="A57" t="s">
        <v>1</v>
      </c>
      <c r="B57" t="s">
        <v>27</v>
      </c>
      <c r="C57">
        <v>40.163328896542708</v>
      </c>
    </row>
    <row r="58" spans="1:3" x14ac:dyDescent="0.35">
      <c r="A58" t="s">
        <v>10</v>
      </c>
      <c r="B58" t="s">
        <v>21</v>
      </c>
      <c r="C58">
        <v>28.564850035905799</v>
      </c>
    </row>
    <row r="59" spans="1:3" x14ac:dyDescent="0.35">
      <c r="A59" t="s">
        <v>10</v>
      </c>
      <c r="B59" t="s">
        <v>22</v>
      </c>
      <c r="C59">
        <v>28.710406021508177</v>
      </c>
    </row>
    <row r="60" spans="1:3" x14ac:dyDescent="0.35">
      <c r="A60" t="s">
        <v>10</v>
      </c>
      <c r="B60" t="s">
        <v>23</v>
      </c>
      <c r="C60">
        <v>29.026721012848071</v>
      </c>
    </row>
    <row r="61" spans="1:3" x14ac:dyDescent="0.35">
      <c r="A61" t="s">
        <v>10</v>
      </c>
      <c r="B61" t="s">
        <v>24</v>
      </c>
      <c r="C61">
        <v>29.177177027689382</v>
      </c>
    </row>
    <row r="62" spans="1:3" x14ac:dyDescent="0.35">
      <c r="A62" t="s">
        <v>10</v>
      </c>
      <c r="B62" t="s">
        <v>25</v>
      </c>
      <c r="C62">
        <v>29.033979510562602</v>
      </c>
    </row>
    <row r="63" spans="1:3" x14ac:dyDescent="0.35">
      <c r="A63" t="s">
        <v>10</v>
      </c>
      <c r="B63" t="s">
        <v>26</v>
      </c>
      <c r="C63">
        <v>28.988965688207465</v>
      </c>
    </row>
    <row r="64" spans="1:3" x14ac:dyDescent="0.35">
      <c r="A64" t="s">
        <v>10</v>
      </c>
      <c r="B64" t="s">
        <v>27</v>
      </c>
      <c r="C64">
        <v>28.979670133966934</v>
      </c>
    </row>
    <row r="65" spans="1:3" x14ac:dyDescent="0.35">
      <c r="A65" t="s">
        <v>9</v>
      </c>
      <c r="B65" t="s">
        <v>21</v>
      </c>
      <c r="C65">
        <v>39.82686101201962</v>
      </c>
    </row>
    <row r="66" spans="1:3" x14ac:dyDescent="0.35">
      <c r="A66" t="s">
        <v>9</v>
      </c>
      <c r="B66" t="s">
        <v>22</v>
      </c>
      <c r="C66">
        <v>43.568877088224845</v>
      </c>
    </row>
    <row r="67" spans="1:3" x14ac:dyDescent="0.35">
      <c r="A67" t="s">
        <v>9</v>
      </c>
      <c r="B67" t="s">
        <v>23</v>
      </c>
      <c r="C67">
        <v>43.668292538098775</v>
      </c>
    </row>
    <row r="68" spans="1:3" x14ac:dyDescent="0.35">
      <c r="A68" t="s">
        <v>9</v>
      </c>
      <c r="B68" t="s">
        <v>24</v>
      </c>
      <c r="C68">
        <v>43.037552396657858</v>
      </c>
    </row>
    <row r="69" spans="1:3" x14ac:dyDescent="0.35">
      <c r="A69" t="s">
        <v>9</v>
      </c>
      <c r="B69" t="s">
        <v>25</v>
      </c>
      <c r="C69">
        <v>44.878457488199906</v>
      </c>
    </row>
    <row r="70" spans="1:3" x14ac:dyDescent="0.35">
      <c r="A70" t="s">
        <v>9</v>
      </c>
      <c r="B70" t="s">
        <v>26</v>
      </c>
      <c r="C70">
        <v>45.267474773366743</v>
      </c>
    </row>
    <row r="71" spans="1:3" x14ac:dyDescent="0.35">
      <c r="A71" t="s">
        <v>9</v>
      </c>
      <c r="B71" t="s">
        <v>27</v>
      </c>
      <c r="C71">
        <v>43.77004414281123</v>
      </c>
    </row>
    <row r="72" spans="1:3" x14ac:dyDescent="0.35">
      <c r="A72" t="s">
        <v>19</v>
      </c>
      <c r="B72" t="s">
        <v>21</v>
      </c>
      <c r="C72">
        <v>42.711315893078179</v>
      </c>
    </row>
    <row r="73" spans="1:3" x14ac:dyDescent="0.35">
      <c r="A73" t="s">
        <v>19</v>
      </c>
      <c r="B73" t="s">
        <v>22</v>
      </c>
      <c r="C73">
        <v>42.938737879525064</v>
      </c>
    </row>
    <row r="74" spans="1:3" x14ac:dyDescent="0.35">
      <c r="A74" t="s">
        <v>19</v>
      </c>
      <c r="B74" t="s">
        <v>23</v>
      </c>
      <c r="C74">
        <v>42.728162135911631</v>
      </c>
    </row>
    <row r="75" spans="1:3" x14ac:dyDescent="0.35">
      <c r="A75" t="s">
        <v>19</v>
      </c>
      <c r="B75" t="s">
        <v>24</v>
      </c>
      <c r="C75">
        <v>42.534428701046672</v>
      </c>
    </row>
    <row r="76" spans="1:3" x14ac:dyDescent="0.35">
      <c r="A76" t="s">
        <v>19</v>
      </c>
      <c r="B76" t="s">
        <v>25</v>
      </c>
      <c r="C76">
        <v>42.728162135911631</v>
      </c>
    </row>
    <row r="77" spans="1:3" x14ac:dyDescent="0.35">
      <c r="A77" t="s">
        <v>19</v>
      </c>
      <c r="B77" t="s">
        <v>26</v>
      </c>
      <c r="C77">
        <v>42.833450537997194</v>
      </c>
    </row>
    <row r="78" spans="1:3" x14ac:dyDescent="0.35">
      <c r="A78" t="s">
        <v>19</v>
      </c>
      <c r="B78" t="s">
        <v>27</v>
      </c>
      <c r="C78">
        <v>42.833450537997194</v>
      </c>
    </row>
    <row r="79" spans="1:3" x14ac:dyDescent="0.35">
      <c r="A79" t="s">
        <v>7</v>
      </c>
      <c r="B79" t="s">
        <v>21</v>
      </c>
      <c r="C79">
        <v>29.534781508346462</v>
      </c>
    </row>
    <row r="80" spans="1:3" x14ac:dyDescent="0.35">
      <c r="A80" t="s">
        <v>7</v>
      </c>
      <c r="B80" t="s">
        <v>22</v>
      </c>
      <c r="C80">
        <v>29.740558604832692</v>
      </c>
    </row>
    <row r="81" spans="1:3" x14ac:dyDescent="0.35">
      <c r="A81" t="s">
        <v>7</v>
      </c>
      <c r="B81" t="s">
        <v>23</v>
      </c>
      <c r="C81">
        <v>29.615205869702237</v>
      </c>
    </row>
    <row r="82" spans="1:3" x14ac:dyDescent="0.35">
      <c r="A82" t="s">
        <v>7</v>
      </c>
      <c r="B82" t="s">
        <v>24</v>
      </c>
      <c r="C82">
        <v>29.242332461396487</v>
      </c>
    </row>
    <row r="83" spans="1:3" x14ac:dyDescent="0.35">
      <c r="A83" t="s">
        <v>7</v>
      </c>
      <c r="B83" t="s">
        <v>25</v>
      </c>
      <c r="C83">
        <v>29.534902640658423</v>
      </c>
    </row>
    <row r="84" spans="1:3" x14ac:dyDescent="0.35">
      <c r="A84" t="s">
        <v>7</v>
      </c>
      <c r="B84" t="s">
        <v>26</v>
      </c>
      <c r="C84">
        <v>29.720336882646521</v>
      </c>
    </row>
    <row r="85" spans="1:3" x14ac:dyDescent="0.35">
      <c r="A85" t="s">
        <v>7</v>
      </c>
      <c r="B85" t="s">
        <v>27</v>
      </c>
      <c r="C85">
        <v>29.959742399498104</v>
      </c>
    </row>
    <row r="86" spans="1:3" x14ac:dyDescent="0.35">
      <c r="A86" t="s">
        <v>3</v>
      </c>
      <c r="B86" t="s">
        <v>21</v>
      </c>
      <c r="C86">
        <v>22.017838928658158</v>
      </c>
    </row>
    <row r="87" spans="1:3" x14ac:dyDescent="0.35">
      <c r="A87" t="s">
        <v>3</v>
      </c>
      <c r="B87" t="s">
        <v>22</v>
      </c>
      <c r="C87">
        <v>26.568991997452919</v>
      </c>
    </row>
    <row r="88" spans="1:3" x14ac:dyDescent="0.35">
      <c r="A88" t="s">
        <v>3</v>
      </c>
      <c r="B88" t="s">
        <v>23</v>
      </c>
      <c r="C88">
        <v>22.168889762644177</v>
      </c>
    </row>
    <row r="89" spans="1:3" x14ac:dyDescent="0.35">
      <c r="A89" t="s">
        <v>3</v>
      </c>
      <c r="B89" t="s">
        <v>24</v>
      </c>
      <c r="C89">
        <v>10.439338970348871</v>
      </c>
    </row>
    <row r="90" spans="1:3" x14ac:dyDescent="0.35">
      <c r="A90" t="s">
        <v>3</v>
      </c>
      <c r="B90" t="s">
        <v>25</v>
      </c>
      <c r="C90">
        <v>25.543714011477746</v>
      </c>
    </row>
    <row r="91" spans="1:3" x14ac:dyDescent="0.35">
      <c r="A91" t="s">
        <v>3</v>
      </c>
      <c r="B91" t="s">
        <v>26</v>
      </c>
      <c r="C91">
        <v>10.979711882153726</v>
      </c>
    </row>
    <row r="92" spans="1:3" x14ac:dyDescent="0.35">
      <c r="A92" t="s">
        <v>3</v>
      </c>
      <c r="B92" t="s">
        <v>27</v>
      </c>
      <c r="C92">
        <v>25.634803154595978</v>
      </c>
    </row>
    <row r="93" spans="1:3" x14ac:dyDescent="0.35">
      <c r="A93" t="s">
        <v>2</v>
      </c>
      <c r="B93" t="s">
        <v>21</v>
      </c>
      <c r="C93">
        <v>32.809569263513914</v>
      </c>
    </row>
    <row r="94" spans="1:3" x14ac:dyDescent="0.35">
      <c r="A94" t="s">
        <v>2</v>
      </c>
      <c r="B94" t="s">
        <v>22</v>
      </c>
      <c r="C94">
        <v>32.798168031389402</v>
      </c>
    </row>
    <row r="95" spans="1:3" x14ac:dyDescent="0.35">
      <c r="A95" t="s">
        <v>2</v>
      </c>
      <c r="B95" t="s">
        <v>23</v>
      </c>
      <c r="C95">
        <v>30.308346551545299</v>
      </c>
    </row>
    <row r="96" spans="1:3" x14ac:dyDescent="0.35">
      <c r="A96" t="s">
        <v>2</v>
      </c>
      <c r="B96" t="s">
        <v>24</v>
      </c>
      <c r="C96">
        <v>32.892167691786639</v>
      </c>
    </row>
    <row r="97" spans="1:3" x14ac:dyDescent="0.35">
      <c r="A97" t="s">
        <v>2</v>
      </c>
      <c r="B97" t="s">
        <v>25</v>
      </c>
      <c r="C97">
        <v>32.843859309996049</v>
      </c>
    </row>
    <row r="98" spans="1:3" x14ac:dyDescent="0.35">
      <c r="A98" t="s">
        <v>2</v>
      </c>
      <c r="B98" t="s">
        <v>26</v>
      </c>
      <c r="C98">
        <v>32.856720890620039</v>
      </c>
    </row>
    <row r="99" spans="1:3" x14ac:dyDescent="0.35">
      <c r="A99" t="s">
        <v>2</v>
      </c>
      <c r="B99" t="s">
        <v>27</v>
      </c>
      <c r="C99">
        <v>2.4033488390879221</v>
      </c>
    </row>
    <row r="100" spans="1:3" x14ac:dyDescent="0.35">
      <c r="A100" t="s">
        <v>16</v>
      </c>
      <c r="B100" t="s">
        <v>21</v>
      </c>
      <c r="C100">
        <v>34.228208778774459</v>
      </c>
    </row>
    <row r="101" spans="1:3" x14ac:dyDescent="0.35">
      <c r="A101" t="s">
        <v>16</v>
      </c>
      <c r="B101" t="s">
        <v>22</v>
      </c>
      <c r="C101">
        <v>39.292123615615843</v>
      </c>
    </row>
    <row r="102" spans="1:3" x14ac:dyDescent="0.35">
      <c r="A102" t="s">
        <v>16</v>
      </c>
      <c r="B102" t="s">
        <v>23</v>
      </c>
      <c r="C102">
        <v>23.872311184257043</v>
      </c>
    </row>
    <row r="103" spans="1:3" x14ac:dyDescent="0.35">
      <c r="A103" t="s">
        <v>16</v>
      </c>
      <c r="B103" t="s">
        <v>24</v>
      </c>
      <c r="C103">
        <v>33.593224135959964</v>
      </c>
    </row>
    <row r="104" spans="1:3" x14ac:dyDescent="0.35">
      <c r="A104" t="s">
        <v>16</v>
      </c>
      <c r="B104" t="s">
        <v>25</v>
      </c>
      <c r="C104">
        <v>32.835069538511881</v>
      </c>
    </row>
    <row r="105" spans="1:3" x14ac:dyDescent="0.35">
      <c r="A105" t="s">
        <v>16</v>
      </c>
      <c r="B105" t="s">
        <v>26</v>
      </c>
      <c r="C105">
        <v>37.053458440441375</v>
      </c>
    </row>
    <row r="106" spans="1:3" x14ac:dyDescent="0.35">
      <c r="A106" t="s">
        <v>16</v>
      </c>
      <c r="B106" t="s">
        <v>27</v>
      </c>
      <c r="C106">
        <v>37.279961354312398</v>
      </c>
    </row>
    <row r="107" spans="1:3" x14ac:dyDescent="0.35">
      <c r="A107" t="s">
        <v>13</v>
      </c>
      <c r="B107" t="s">
        <v>21</v>
      </c>
      <c r="C107">
        <v>14.266772234671855</v>
      </c>
    </row>
    <row r="108" spans="1:3" x14ac:dyDescent="0.35">
      <c r="A108" t="s">
        <v>13</v>
      </c>
      <c r="B108" t="s">
        <v>22</v>
      </c>
      <c r="C108">
        <v>14.564572299283942</v>
      </c>
    </row>
    <row r="109" spans="1:3" x14ac:dyDescent="0.35">
      <c r="A109" t="s">
        <v>13</v>
      </c>
      <c r="B109" t="s">
        <v>23</v>
      </c>
      <c r="C109">
        <v>14.629064655255725</v>
      </c>
    </row>
    <row r="110" spans="1:3" x14ac:dyDescent="0.35">
      <c r="A110" t="s">
        <v>13</v>
      </c>
      <c r="B110" t="s">
        <v>24</v>
      </c>
      <c r="C110">
        <v>13.941492071541887</v>
      </c>
    </row>
    <row r="111" spans="1:3" x14ac:dyDescent="0.35">
      <c r="A111" t="s">
        <v>13</v>
      </c>
      <c r="B111" t="s">
        <v>25</v>
      </c>
      <c r="C111">
        <v>14.88749186516911</v>
      </c>
    </row>
    <row r="112" spans="1:3" x14ac:dyDescent="0.35">
      <c r="A112" t="s">
        <v>13</v>
      </c>
      <c r="B112" t="s">
        <v>26</v>
      </c>
      <c r="C112">
        <v>14.425443573825191</v>
      </c>
    </row>
    <row r="113" spans="1:3" x14ac:dyDescent="0.35">
      <c r="A113" t="s">
        <v>13</v>
      </c>
      <c r="B113" t="s">
        <v>27</v>
      </c>
      <c r="C113">
        <v>14.338844011281868</v>
      </c>
    </row>
    <row r="114" spans="1:3" x14ac:dyDescent="0.35">
      <c r="A114" t="s">
        <v>18</v>
      </c>
      <c r="B114" t="s">
        <v>21</v>
      </c>
      <c r="C114">
        <v>33.234746518480215</v>
      </c>
    </row>
    <row r="115" spans="1:3" x14ac:dyDescent="0.35">
      <c r="A115" t="s">
        <v>18</v>
      </c>
      <c r="B115" t="s">
        <v>22</v>
      </c>
      <c r="C115">
        <v>36.833091528714334</v>
      </c>
    </row>
    <row r="116" spans="1:3" x14ac:dyDescent="0.35">
      <c r="A116" t="s">
        <v>18</v>
      </c>
      <c r="B116" t="s">
        <v>23</v>
      </c>
      <c r="C116">
        <v>35.339605958639424</v>
      </c>
    </row>
    <row r="117" spans="1:3" x14ac:dyDescent="0.35">
      <c r="A117" t="s">
        <v>18</v>
      </c>
      <c r="B117" t="s">
        <v>24</v>
      </c>
      <c r="C117">
        <v>35.406267457999405</v>
      </c>
    </row>
    <row r="118" spans="1:3" x14ac:dyDescent="0.35">
      <c r="A118" t="s">
        <v>18</v>
      </c>
      <c r="B118" t="s">
        <v>25</v>
      </c>
      <c r="C118">
        <v>30.743529867882174</v>
      </c>
    </row>
    <row r="119" spans="1:3" x14ac:dyDescent="0.35">
      <c r="A119" t="s">
        <v>18</v>
      </c>
      <c r="B119" t="s">
        <v>26</v>
      </c>
      <c r="C119">
        <v>35.6176461624203</v>
      </c>
    </row>
    <row r="120" spans="1:3" x14ac:dyDescent="0.35">
      <c r="A120" t="s">
        <v>18</v>
      </c>
      <c r="B120" t="s">
        <v>27</v>
      </c>
      <c r="C120">
        <v>35.695766394105732</v>
      </c>
    </row>
    <row r="121" spans="1:3" x14ac:dyDescent="0.35">
      <c r="A121" t="s">
        <v>17</v>
      </c>
      <c r="B121" t="s">
        <v>21</v>
      </c>
      <c r="C121">
        <v>31.433913598440235</v>
      </c>
    </row>
    <row r="122" spans="1:3" x14ac:dyDescent="0.35">
      <c r="A122" t="s">
        <v>17</v>
      </c>
      <c r="B122" t="s">
        <v>22</v>
      </c>
      <c r="C122">
        <v>39.151214010627619</v>
      </c>
    </row>
    <row r="123" spans="1:3" x14ac:dyDescent="0.35">
      <c r="A123" t="s">
        <v>17</v>
      </c>
      <c r="B123" t="s">
        <v>23</v>
      </c>
      <c r="C123">
        <v>36.438095873937996</v>
      </c>
    </row>
    <row r="124" spans="1:3" x14ac:dyDescent="0.35">
      <c r="A124" t="s">
        <v>17</v>
      </c>
      <c r="B124" t="s">
        <v>24</v>
      </c>
      <c r="C124">
        <v>33.448338126650405</v>
      </c>
    </row>
    <row r="125" spans="1:3" x14ac:dyDescent="0.35">
      <c r="A125" t="s">
        <v>17</v>
      </c>
      <c r="B125" t="s">
        <v>25</v>
      </c>
      <c r="C125">
        <v>38.337381620728259</v>
      </c>
    </row>
    <row r="126" spans="1:3" x14ac:dyDescent="0.35">
      <c r="A126" t="s">
        <v>17</v>
      </c>
      <c r="B126" t="s">
        <v>26</v>
      </c>
      <c r="C126">
        <v>37.604479404879967</v>
      </c>
    </row>
    <row r="127" spans="1:3" x14ac:dyDescent="0.35">
      <c r="A127" t="s">
        <v>17</v>
      </c>
      <c r="B127" t="s">
        <v>27</v>
      </c>
      <c r="C127">
        <v>36.893690051946592</v>
      </c>
    </row>
    <row r="128" spans="1:3" x14ac:dyDescent="0.35">
      <c r="A128" t="s">
        <v>14</v>
      </c>
      <c r="B128" t="s">
        <v>21</v>
      </c>
      <c r="C128">
        <v>37.868706113959419</v>
      </c>
    </row>
    <row r="129" spans="1:3" x14ac:dyDescent="0.35">
      <c r="A129" t="s">
        <v>14</v>
      </c>
      <c r="B129" t="s">
        <v>22</v>
      </c>
      <c r="C129">
        <v>38.466189320242961</v>
      </c>
    </row>
    <row r="130" spans="1:3" x14ac:dyDescent="0.35">
      <c r="A130" t="s">
        <v>14</v>
      </c>
      <c r="B130" t="s">
        <v>23</v>
      </c>
      <c r="C130">
        <v>39.933641238758909</v>
      </c>
    </row>
    <row r="131" spans="1:3" x14ac:dyDescent="0.35">
      <c r="A131" t="s">
        <v>14</v>
      </c>
      <c r="B131" t="s">
        <v>24</v>
      </c>
      <c r="C131">
        <v>39.958019829167817</v>
      </c>
    </row>
    <row r="132" spans="1:3" x14ac:dyDescent="0.35">
      <c r="A132" t="s">
        <v>14</v>
      </c>
      <c r="B132" t="s">
        <v>25</v>
      </c>
      <c r="C132">
        <v>39.739959503965281</v>
      </c>
    </row>
    <row r="133" spans="1:3" x14ac:dyDescent="0.35">
      <c r="A133" t="s">
        <v>14</v>
      </c>
      <c r="B133" t="s">
        <v>26</v>
      </c>
      <c r="C133">
        <v>39.786934079884979</v>
      </c>
    </row>
    <row r="134" spans="1:3" x14ac:dyDescent="0.35">
      <c r="A134" t="s">
        <v>14</v>
      </c>
      <c r="B134" t="s">
        <v>27</v>
      </c>
      <c r="C134">
        <v>39.828860272745644</v>
      </c>
    </row>
  </sheetData>
  <sortState xmlns:xlrd2="http://schemas.microsoft.com/office/spreadsheetml/2017/richdata2" ref="A2:E134">
    <sortCondition ref="A2:A134"/>
  </sortState>
  <mergeCells count="5">
    <mergeCell ref="H26:J26"/>
    <mergeCell ref="H27:J27"/>
    <mergeCell ref="H28:J28"/>
    <mergeCell ref="O26:P26"/>
    <mergeCell ref="H3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2025-11-13T20:34:59Z</dcterms:modified>
</cp:coreProperties>
</file>