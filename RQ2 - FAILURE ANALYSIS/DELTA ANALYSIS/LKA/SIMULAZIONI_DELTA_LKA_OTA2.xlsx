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ANALISI FAILURE\analisi GAP\LKA\"/>
    </mc:Choice>
  </mc:AlternateContent>
  <xr:revisionPtr revIDLastSave="0" documentId="13_ncr:1_{7D9FC07F-BAC9-446F-8986-7DF29B513D18}" xr6:coauthVersionLast="47" xr6:coauthVersionMax="47" xr10:uidLastSave="{00000000-0000-0000-0000-000000000000}"/>
  <bookViews>
    <workbookView xWindow="-110" yWindow="-110" windowWidth="21820" windowHeight="13900" xr2:uid="{0DF8C3E9-6D10-4BE0-A36B-5EC249A8170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  <c r="J3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2" i="1"/>
</calcChain>
</file>

<file path=xl/sharedStrings.xml><?xml version="1.0" encoding="utf-8"?>
<sst xmlns="http://schemas.openxmlformats.org/spreadsheetml/2006/main" count="191" uniqueCount="29">
  <si>
    <t xml:space="preserve">Scenario </t>
  </si>
  <si>
    <t>Vehicle</t>
  </si>
  <si>
    <t>A26_Autostrada_Trafori</t>
  </si>
  <si>
    <t>A8_Stoccarda_Monaco</t>
  </si>
  <si>
    <t>Anaconda</t>
  </si>
  <si>
    <t>LFACC_01_DoubleCurve_DecelTarget</t>
  </si>
  <si>
    <t>LFACC_02_DoubleCurve_AutoRetarget</t>
  </si>
  <si>
    <t>LFACC_04_Curve_CutInOut</t>
  </si>
  <si>
    <t>Overseas_Hwy</t>
  </si>
  <si>
    <t>Pacific_Coast_Highway</t>
  </si>
  <si>
    <t>Sea_Sky_Hwy</t>
  </si>
  <si>
    <t>Trans_Canada_Hwy</t>
  </si>
  <si>
    <t>Malibu.m</t>
  </si>
  <si>
    <t>Panda.m</t>
  </si>
  <si>
    <t>Camaro.m</t>
  </si>
  <si>
    <t>Colorado.m</t>
  </si>
  <si>
    <t>A4.m</t>
  </si>
  <si>
    <t>Polo.m</t>
  </si>
  <si>
    <t>Tcross</t>
  </si>
  <si>
    <t>DELTA</t>
  </si>
  <si>
    <t>FAILURE</t>
  </si>
  <si>
    <t>FAILURE TECNICA DELTA</t>
  </si>
  <si>
    <t>I_81_Hwy</t>
  </si>
  <si>
    <t>LFACC_03_DoubleCurve_StopnGo</t>
  </si>
  <si>
    <t>LFACC_05_Curve_CutInOut_TooClose</t>
  </si>
  <si>
    <t>FITNESS CONF0</t>
  </si>
  <si>
    <t>TEMPO SIMULAZIONE</t>
  </si>
  <si>
    <t>TEMPO SIMULAZIONE REALE</t>
  </si>
  <si>
    <t>SOMME REALI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</si>
</sst>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B433-9C76-475E-BAF8-AD05EF560801}">
  <dimension ref="A1:L92"/>
  <sheetViews>
    <sheetView tabSelected="1" workbookViewId="0">
      <selection activeCell="K10" sqref="K10"/>
    </sheetView>
  </sheetViews>
  <sheetFormatPr defaultRowHeight="14.5" x14ac:dyDescent="0.35"/>
  <cols>
    <col min="1" max="1" width="32.54296875" bestFit="1" customWidth="1"/>
    <col min="2" max="2" width="10.26953125" bestFit="1" customWidth="1"/>
    <col min="3" max="3" width="11.81640625" bestFit="1" customWidth="1"/>
    <col min="4" max="4" width="13.81640625" bestFit="1" customWidth="1"/>
    <col min="6" max="6" width="21.08984375" bestFit="1" customWidth="1"/>
    <col min="7" max="7" width="9.54296875" customWidth="1"/>
    <col min="8" max="8" width="18.36328125" bestFit="1" customWidth="1"/>
    <col min="9" max="9" width="23.90625" bestFit="1" customWidth="1"/>
    <col min="11" max="11" width="12" bestFit="1" customWidth="1"/>
    <col min="12" max="12" width="14.1796875" customWidth="1"/>
    <col min="13" max="13" width="12.453125" bestFit="1" customWidth="1"/>
  </cols>
  <sheetData>
    <row r="1" spans="1:11" x14ac:dyDescent="0.35">
      <c r="A1" s="1" t="s">
        <v>0</v>
      </c>
      <c r="B1" s="2" t="s">
        <v>1</v>
      </c>
      <c r="C1" s="3" t="s">
        <v>19</v>
      </c>
      <c r="D1" s="4" t="s">
        <v>25</v>
      </c>
      <c r="E1" s="5" t="s">
        <v>20</v>
      </c>
      <c r="F1" t="s">
        <v>21</v>
      </c>
      <c r="H1" t="s">
        <v>26</v>
      </c>
      <c r="I1" t="s">
        <v>27</v>
      </c>
      <c r="K1" t="s">
        <v>28</v>
      </c>
    </row>
    <row r="2" spans="1:11" x14ac:dyDescent="0.35">
      <c r="A2" s="7" t="s">
        <v>10</v>
      </c>
      <c r="B2" t="s">
        <v>15</v>
      </c>
      <c r="C2">
        <v>3.1415778398513794</v>
      </c>
      <c r="D2">
        <v>1.9235235452651978</v>
      </c>
      <c r="E2" t="b">
        <v>1</v>
      </c>
      <c r="F2" s="7" t="b">
        <v>1</v>
      </c>
      <c r="G2" t="str">
        <f>IF(F2=E2,"CORRETTO","SBAGLIATO")</f>
        <v>CORRETTO</v>
      </c>
      <c r="H2">
        <v>28</v>
      </c>
      <c r="I2">
        <v>92.39</v>
      </c>
      <c r="J2">
        <f>SUM(H2:H92)*10</f>
        <v>41999.300000000032</v>
      </c>
      <c r="K2">
        <f>SUM(I2:I92)</f>
        <v>12030.340000000007</v>
      </c>
    </row>
    <row r="3" spans="1:11" x14ac:dyDescent="0.35">
      <c r="A3" s="7" t="s">
        <v>10</v>
      </c>
      <c r="B3" t="s">
        <v>14</v>
      </c>
      <c r="C3">
        <v>3.1415778398513794</v>
      </c>
      <c r="D3">
        <v>2.3338693380355835</v>
      </c>
      <c r="E3" t="b">
        <v>1</v>
      </c>
      <c r="F3" s="7" t="b">
        <v>1</v>
      </c>
      <c r="G3" t="str">
        <f t="shared" ref="G3:G66" si="0">IF(F3=E3,"CORRETTO","SBAGLIATO")</f>
        <v>CORRETTO</v>
      </c>
      <c r="H3">
        <v>28</v>
      </c>
      <c r="I3">
        <v>92.39</v>
      </c>
      <c r="J3">
        <f>SUM(H2:H26,H30,H34,H36:H37,H39,H47,H50,H58:H63,H68,H74,H82:H83,H86)*10</f>
        <v>21295.7</v>
      </c>
      <c r="K3">
        <f>SUM(I2:I26,I30,I34,I36:I37,I39,I47,I50,I58:I63,I68,I74,I82:I83,I86)</f>
        <v>5640.7</v>
      </c>
    </row>
    <row r="4" spans="1:11" x14ac:dyDescent="0.35">
      <c r="A4" s="7" t="s">
        <v>10</v>
      </c>
      <c r="B4" t="s">
        <v>13</v>
      </c>
      <c r="C4">
        <v>3.1415778398513794</v>
      </c>
      <c r="D4">
        <v>3.4751999378204346</v>
      </c>
      <c r="E4" t="b">
        <v>0</v>
      </c>
      <c r="F4" s="7" t="b">
        <v>0</v>
      </c>
      <c r="G4" t="str">
        <f t="shared" si="0"/>
        <v>CORRETTO</v>
      </c>
      <c r="H4">
        <v>28</v>
      </c>
      <c r="I4">
        <v>92.39</v>
      </c>
    </row>
    <row r="5" spans="1:11" x14ac:dyDescent="0.35">
      <c r="A5" s="7" t="s">
        <v>8</v>
      </c>
      <c r="B5" t="s">
        <v>14</v>
      </c>
      <c r="C5">
        <v>1.7361408472061157</v>
      </c>
      <c r="D5">
        <v>3.5684084892272949</v>
      </c>
      <c r="E5" t="b">
        <v>1</v>
      </c>
      <c r="F5" s="7" t="b">
        <v>1</v>
      </c>
      <c r="G5" t="str">
        <f t="shared" si="0"/>
        <v>CORRETTO</v>
      </c>
      <c r="H5">
        <v>70</v>
      </c>
      <c r="I5">
        <v>162.27000000000001</v>
      </c>
    </row>
    <row r="6" spans="1:11" x14ac:dyDescent="0.35">
      <c r="A6" s="7" t="s">
        <v>10</v>
      </c>
      <c r="B6" t="s">
        <v>16</v>
      </c>
      <c r="C6">
        <v>3.1415778398513794</v>
      </c>
      <c r="D6">
        <v>3.7861460447311401</v>
      </c>
      <c r="E6" t="b">
        <v>1</v>
      </c>
      <c r="F6" s="7" t="b">
        <v>1</v>
      </c>
      <c r="G6" t="str">
        <f t="shared" si="0"/>
        <v>CORRETTO</v>
      </c>
      <c r="H6">
        <v>28</v>
      </c>
      <c r="I6">
        <v>92.39</v>
      </c>
    </row>
    <row r="7" spans="1:11" x14ac:dyDescent="0.35">
      <c r="A7" s="7" t="s">
        <v>10</v>
      </c>
      <c r="B7" t="s">
        <v>12</v>
      </c>
      <c r="C7">
        <v>3.1415778398513794</v>
      </c>
      <c r="D7">
        <v>4.4550466537475586</v>
      </c>
      <c r="E7" t="b">
        <v>0</v>
      </c>
      <c r="F7" s="7" t="b">
        <v>0</v>
      </c>
      <c r="G7" t="str">
        <f t="shared" si="0"/>
        <v>CORRETTO</v>
      </c>
      <c r="H7">
        <v>28</v>
      </c>
      <c r="I7">
        <v>92.39</v>
      </c>
    </row>
    <row r="8" spans="1:11" x14ac:dyDescent="0.35">
      <c r="A8" s="7" t="s">
        <v>2</v>
      </c>
      <c r="B8" t="s">
        <v>13</v>
      </c>
      <c r="C8">
        <v>1.4536970853805542</v>
      </c>
      <c r="D8">
        <v>4.4737720489501953</v>
      </c>
      <c r="E8" t="b">
        <v>0</v>
      </c>
      <c r="F8" s="7" t="b">
        <v>0</v>
      </c>
      <c r="G8" t="str">
        <f t="shared" si="0"/>
        <v>CORRETTO</v>
      </c>
      <c r="H8">
        <v>40</v>
      </c>
      <c r="I8">
        <v>119.09</v>
      </c>
    </row>
    <row r="9" spans="1:11" x14ac:dyDescent="0.35">
      <c r="A9" s="7" t="s">
        <v>2</v>
      </c>
      <c r="B9" t="s">
        <v>17</v>
      </c>
      <c r="C9">
        <v>1.4536970853805542</v>
      </c>
      <c r="D9">
        <v>4.6187716722488403</v>
      </c>
      <c r="E9" t="b">
        <v>0</v>
      </c>
      <c r="F9" s="7" t="b">
        <v>0</v>
      </c>
      <c r="G9" t="str">
        <f t="shared" si="0"/>
        <v>CORRETTO</v>
      </c>
      <c r="H9">
        <v>40</v>
      </c>
      <c r="I9">
        <v>119.09</v>
      </c>
    </row>
    <row r="10" spans="1:11" x14ac:dyDescent="0.35">
      <c r="A10" s="7" t="s">
        <v>8</v>
      </c>
      <c r="B10" t="s">
        <v>18</v>
      </c>
      <c r="C10">
        <v>1.7361408472061157</v>
      </c>
      <c r="D10">
        <v>4.7551953792572021</v>
      </c>
      <c r="E10" t="b">
        <v>0</v>
      </c>
      <c r="F10" s="7" t="b">
        <v>0</v>
      </c>
      <c r="G10" t="str">
        <f t="shared" si="0"/>
        <v>CORRETTO</v>
      </c>
      <c r="H10">
        <v>70</v>
      </c>
      <c r="I10">
        <v>162.27000000000001</v>
      </c>
    </row>
    <row r="11" spans="1:11" x14ac:dyDescent="0.35">
      <c r="A11" s="7" t="s">
        <v>8</v>
      </c>
      <c r="B11" t="s">
        <v>16</v>
      </c>
      <c r="C11">
        <v>1.7361408472061157</v>
      </c>
      <c r="D11">
        <v>4.7819286584854126</v>
      </c>
      <c r="E11" t="b">
        <v>1</v>
      </c>
      <c r="F11" s="7" t="b">
        <v>1</v>
      </c>
      <c r="G11" t="str">
        <f t="shared" si="0"/>
        <v>CORRETTO</v>
      </c>
      <c r="H11">
        <v>70</v>
      </c>
      <c r="I11">
        <v>162.27000000000001</v>
      </c>
    </row>
    <row r="12" spans="1:11" x14ac:dyDescent="0.35">
      <c r="A12" s="7" t="s">
        <v>10</v>
      </c>
      <c r="B12" t="s">
        <v>17</v>
      </c>
      <c r="C12">
        <v>3.1415778398513794</v>
      </c>
      <c r="D12">
        <v>4.8610556125640869</v>
      </c>
      <c r="E12" t="b">
        <v>0</v>
      </c>
      <c r="F12" s="7" t="b">
        <v>0</v>
      </c>
      <c r="G12" t="str">
        <f t="shared" si="0"/>
        <v>CORRETTO</v>
      </c>
      <c r="H12">
        <v>28</v>
      </c>
      <c r="I12">
        <v>92.39</v>
      </c>
    </row>
    <row r="13" spans="1:11" x14ac:dyDescent="0.35">
      <c r="A13" s="7" t="s">
        <v>2</v>
      </c>
      <c r="B13" t="s">
        <v>12</v>
      </c>
      <c r="C13">
        <v>1.4536970853805542</v>
      </c>
      <c r="D13">
        <v>4.9039429426193237</v>
      </c>
      <c r="E13" t="b">
        <v>0</v>
      </c>
      <c r="F13" s="7" t="b">
        <v>0</v>
      </c>
      <c r="G13" t="str">
        <f t="shared" si="0"/>
        <v>CORRETTO</v>
      </c>
      <c r="H13">
        <v>40</v>
      </c>
      <c r="I13">
        <v>119.09</v>
      </c>
    </row>
    <row r="14" spans="1:11" x14ac:dyDescent="0.35">
      <c r="A14" s="7" t="s">
        <v>8</v>
      </c>
      <c r="B14" t="s">
        <v>17</v>
      </c>
      <c r="C14">
        <v>1.7361408472061157</v>
      </c>
      <c r="D14">
        <v>4.906887412071228</v>
      </c>
      <c r="E14" t="b">
        <v>1</v>
      </c>
      <c r="F14" s="7" t="b">
        <v>1</v>
      </c>
      <c r="G14" t="str">
        <f t="shared" si="0"/>
        <v>CORRETTO</v>
      </c>
      <c r="H14">
        <v>70</v>
      </c>
      <c r="I14">
        <v>162.27000000000001</v>
      </c>
    </row>
    <row r="15" spans="1:11" x14ac:dyDescent="0.35">
      <c r="A15" s="7" t="s">
        <v>8</v>
      </c>
      <c r="B15" t="s">
        <v>12</v>
      </c>
      <c r="C15">
        <v>1.7361408472061157</v>
      </c>
      <c r="D15">
        <v>4.916873574256897</v>
      </c>
      <c r="E15" t="b">
        <v>0</v>
      </c>
      <c r="F15" s="7" t="b">
        <v>0</v>
      </c>
      <c r="G15" t="str">
        <f t="shared" si="0"/>
        <v>CORRETTO</v>
      </c>
      <c r="H15">
        <v>70</v>
      </c>
      <c r="I15">
        <v>162.27000000000001</v>
      </c>
    </row>
    <row r="16" spans="1:11" x14ac:dyDescent="0.35">
      <c r="A16" s="7" t="s">
        <v>2</v>
      </c>
      <c r="B16" t="s">
        <v>18</v>
      </c>
      <c r="C16">
        <v>1.4536970853805542</v>
      </c>
      <c r="D16">
        <v>4.9425023794174194</v>
      </c>
      <c r="E16" t="b">
        <v>0</v>
      </c>
      <c r="F16" s="7" t="b">
        <v>0</v>
      </c>
      <c r="G16" t="str">
        <f t="shared" si="0"/>
        <v>CORRETTO</v>
      </c>
      <c r="H16">
        <v>40</v>
      </c>
      <c r="I16">
        <v>119.09</v>
      </c>
    </row>
    <row r="17" spans="1:9" x14ac:dyDescent="0.35">
      <c r="A17" s="7" t="s">
        <v>8</v>
      </c>
      <c r="B17" t="s">
        <v>13</v>
      </c>
      <c r="C17">
        <v>1.7361408472061157</v>
      </c>
      <c r="D17">
        <v>4.9939078092575073</v>
      </c>
      <c r="E17" t="b">
        <v>1</v>
      </c>
      <c r="F17" s="7" t="b">
        <v>1</v>
      </c>
      <c r="G17" t="str">
        <f t="shared" si="0"/>
        <v>CORRETTO</v>
      </c>
      <c r="H17">
        <v>70</v>
      </c>
      <c r="I17">
        <v>162.27000000000001</v>
      </c>
    </row>
    <row r="18" spans="1:9" x14ac:dyDescent="0.35">
      <c r="A18" s="7" t="s">
        <v>5</v>
      </c>
      <c r="B18" t="s">
        <v>13</v>
      </c>
      <c r="C18">
        <v>1.7060250043869019</v>
      </c>
      <c r="D18">
        <v>5.0062280893325806</v>
      </c>
      <c r="E18" t="b">
        <v>0</v>
      </c>
      <c r="F18" s="7" t="b">
        <v>0</v>
      </c>
      <c r="G18" t="str">
        <f t="shared" si="0"/>
        <v>CORRETTO</v>
      </c>
      <c r="H18">
        <v>26.93</v>
      </c>
      <c r="I18">
        <v>79.86</v>
      </c>
    </row>
    <row r="19" spans="1:9" x14ac:dyDescent="0.35">
      <c r="A19" s="7" t="s">
        <v>10</v>
      </c>
      <c r="B19" t="s">
        <v>18</v>
      </c>
      <c r="C19">
        <v>3.1415778398513794</v>
      </c>
      <c r="D19">
        <v>5.0651013851165771</v>
      </c>
      <c r="E19" t="b">
        <v>0</v>
      </c>
      <c r="F19" s="7" t="b">
        <v>0</v>
      </c>
      <c r="G19" t="str">
        <f t="shared" si="0"/>
        <v>CORRETTO</v>
      </c>
      <c r="H19">
        <v>28</v>
      </c>
      <c r="I19">
        <v>92.39</v>
      </c>
    </row>
    <row r="20" spans="1:9" x14ac:dyDescent="0.35">
      <c r="A20" s="7" t="s">
        <v>2</v>
      </c>
      <c r="B20" t="s">
        <v>16</v>
      </c>
      <c r="C20">
        <v>1.4536970853805542</v>
      </c>
      <c r="D20">
        <v>5.1355272531509399</v>
      </c>
      <c r="E20" t="b">
        <v>1</v>
      </c>
      <c r="F20" s="7" t="b">
        <v>1</v>
      </c>
      <c r="G20" t="str">
        <f t="shared" si="0"/>
        <v>CORRETTO</v>
      </c>
      <c r="H20">
        <v>40</v>
      </c>
      <c r="I20">
        <v>119.09</v>
      </c>
    </row>
    <row r="21" spans="1:9" x14ac:dyDescent="0.35">
      <c r="A21" s="7" t="s">
        <v>2</v>
      </c>
      <c r="B21" t="s">
        <v>14</v>
      </c>
      <c r="C21">
        <v>1.4536970853805542</v>
      </c>
      <c r="D21">
        <v>5.200543999671936</v>
      </c>
      <c r="E21" t="b">
        <v>1</v>
      </c>
      <c r="F21" s="7" t="b">
        <v>1</v>
      </c>
      <c r="G21" t="str">
        <f t="shared" si="0"/>
        <v>CORRETTO</v>
      </c>
      <c r="H21">
        <v>40</v>
      </c>
      <c r="I21">
        <v>119.09</v>
      </c>
    </row>
    <row r="22" spans="1:9" x14ac:dyDescent="0.35">
      <c r="A22" s="7" t="s">
        <v>8</v>
      </c>
      <c r="B22" t="s">
        <v>15</v>
      </c>
      <c r="C22">
        <v>1.7361408472061157</v>
      </c>
      <c r="D22">
        <v>5.3045493364334106</v>
      </c>
      <c r="E22" t="b">
        <v>1</v>
      </c>
      <c r="F22" s="7" t="b">
        <v>1</v>
      </c>
      <c r="G22" t="str">
        <f t="shared" si="0"/>
        <v>CORRETTO</v>
      </c>
      <c r="H22">
        <v>70</v>
      </c>
      <c r="I22">
        <v>162.27000000000001</v>
      </c>
    </row>
    <row r="23" spans="1:9" x14ac:dyDescent="0.35">
      <c r="A23" s="7" t="s">
        <v>5</v>
      </c>
      <c r="B23" t="s">
        <v>17</v>
      </c>
      <c r="C23">
        <v>1.7060250043869019</v>
      </c>
      <c r="D23">
        <v>5.5618196725845337</v>
      </c>
      <c r="E23" t="b">
        <v>0</v>
      </c>
      <c r="F23" s="7" t="b">
        <v>0</v>
      </c>
      <c r="G23" t="str">
        <f t="shared" si="0"/>
        <v>CORRETTO</v>
      </c>
      <c r="H23">
        <v>26.93</v>
      </c>
      <c r="I23">
        <v>79.86</v>
      </c>
    </row>
    <row r="24" spans="1:9" x14ac:dyDescent="0.35">
      <c r="A24" s="7" t="s">
        <v>5</v>
      </c>
      <c r="B24" t="s">
        <v>18</v>
      </c>
      <c r="C24">
        <v>1.7060250043869019</v>
      </c>
      <c r="D24">
        <v>5.8602452278137207</v>
      </c>
      <c r="E24" t="b">
        <v>0</v>
      </c>
      <c r="F24" s="7" t="b">
        <v>0</v>
      </c>
      <c r="G24" t="str">
        <f t="shared" si="0"/>
        <v>CORRETTO</v>
      </c>
      <c r="H24">
        <v>26.93</v>
      </c>
      <c r="I24">
        <v>79.86</v>
      </c>
    </row>
    <row r="25" spans="1:9" x14ac:dyDescent="0.35">
      <c r="A25" s="7" t="s">
        <v>2</v>
      </c>
      <c r="B25" t="s">
        <v>15</v>
      </c>
      <c r="C25">
        <v>1.4536970853805542</v>
      </c>
      <c r="D25">
        <v>5.9274691343307495</v>
      </c>
      <c r="E25" t="b">
        <v>1</v>
      </c>
      <c r="F25" s="7" t="b">
        <v>1</v>
      </c>
      <c r="G25" t="str">
        <f t="shared" si="0"/>
        <v>CORRETTO</v>
      </c>
      <c r="H25">
        <v>40</v>
      </c>
      <c r="I25">
        <v>119.09</v>
      </c>
    </row>
    <row r="26" spans="1:9" x14ac:dyDescent="0.35">
      <c r="A26" s="6" t="s">
        <v>22</v>
      </c>
      <c r="B26" t="s">
        <v>13</v>
      </c>
      <c r="C26">
        <v>0.67654192447662354</v>
      </c>
      <c r="D26">
        <v>6.0447883605957031</v>
      </c>
      <c r="E26" t="b">
        <v>0</v>
      </c>
      <c r="F26" s="8" t="b">
        <v>0</v>
      </c>
      <c r="G26" t="str">
        <f t="shared" si="0"/>
        <v>CORRETTO</v>
      </c>
      <c r="H26">
        <v>40</v>
      </c>
      <c r="I26">
        <v>103.03</v>
      </c>
    </row>
    <row r="27" spans="1:9" x14ac:dyDescent="0.35">
      <c r="A27" t="s">
        <v>22</v>
      </c>
      <c r="B27" t="s">
        <v>14</v>
      </c>
      <c r="C27">
        <v>0.67654192447662354</v>
      </c>
      <c r="D27">
        <v>6.1026912927627563</v>
      </c>
      <c r="E27" t="b">
        <v>1</v>
      </c>
      <c r="F27" s="9" t="b">
        <v>0</v>
      </c>
      <c r="G27" t="str">
        <f t="shared" si="0"/>
        <v>SBAGLIATO</v>
      </c>
      <c r="H27">
        <v>40</v>
      </c>
      <c r="I27">
        <v>103.03</v>
      </c>
    </row>
    <row r="28" spans="1:9" x14ac:dyDescent="0.35">
      <c r="A28" t="s">
        <v>22</v>
      </c>
      <c r="B28" t="s">
        <v>15</v>
      </c>
      <c r="C28">
        <v>0.67654192447662354</v>
      </c>
      <c r="D28">
        <v>6.1612457036972046</v>
      </c>
      <c r="E28" t="b">
        <v>1</v>
      </c>
      <c r="F28" s="9" t="b">
        <v>0</v>
      </c>
      <c r="G28" t="str">
        <f t="shared" si="0"/>
        <v>SBAGLIATO</v>
      </c>
      <c r="H28">
        <v>40</v>
      </c>
      <c r="I28">
        <v>103.03</v>
      </c>
    </row>
    <row r="29" spans="1:9" x14ac:dyDescent="0.35">
      <c r="A29" t="s">
        <v>22</v>
      </c>
      <c r="B29" t="s">
        <v>17</v>
      </c>
      <c r="C29">
        <v>0.67654192447662354</v>
      </c>
      <c r="D29">
        <v>6.2980997562408447</v>
      </c>
      <c r="E29" t="b">
        <v>0</v>
      </c>
      <c r="F29" s="9" t="b">
        <v>0</v>
      </c>
      <c r="G29" t="str">
        <f t="shared" si="0"/>
        <v>CORRETTO</v>
      </c>
      <c r="H29">
        <v>40</v>
      </c>
      <c r="I29">
        <v>103.03</v>
      </c>
    </row>
    <row r="30" spans="1:9" x14ac:dyDescent="0.35">
      <c r="A30" s="6" t="s">
        <v>3</v>
      </c>
      <c r="B30" t="s">
        <v>18</v>
      </c>
      <c r="C30">
        <v>0.59919059276580811</v>
      </c>
      <c r="D30">
        <v>6.3683974742889404</v>
      </c>
      <c r="E30" t="b">
        <v>0</v>
      </c>
      <c r="F30" s="8" t="b">
        <v>0</v>
      </c>
      <c r="G30" t="str">
        <f t="shared" si="0"/>
        <v>CORRETTO</v>
      </c>
      <c r="H30">
        <v>50</v>
      </c>
      <c r="I30">
        <v>139.06</v>
      </c>
    </row>
    <row r="31" spans="1:9" x14ac:dyDescent="0.35">
      <c r="A31" t="s">
        <v>3</v>
      </c>
      <c r="B31" t="s">
        <v>14</v>
      </c>
      <c r="C31">
        <v>0.59919059276580811</v>
      </c>
      <c r="D31">
        <v>6.3876050710678101</v>
      </c>
      <c r="E31" t="b">
        <v>1</v>
      </c>
      <c r="F31" s="9" t="b">
        <v>0</v>
      </c>
      <c r="G31" t="str">
        <f t="shared" si="0"/>
        <v>SBAGLIATO</v>
      </c>
      <c r="H31">
        <v>50</v>
      </c>
      <c r="I31">
        <v>139.06</v>
      </c>
    </row>
    <row r="32" spans="1:9" x14ac:dyDescent="0.35">
      <c r="A32" t="s">
        <v>3</v>
      </c>
      <c r="B32" t="s">
        <v>13</v>
      </c>
      <c r="C32">
        <v>0.59919059276580811</v>
      </c>
      <c r="D32">
        <v>6.462823748588562</v>
      </c>
      <c r="E32" t="b">
        <v>0</v>
      </c>
      <c r="F32" s="9" t="b">
        <v>0</v>
      </c>
      <c r="G32" t="str">
        <f t="shared" si="0"/>
        <v>CORRETTO</v>
      </c>
      <c r="H32">
        <v>50</v>
      </c>
      <c r="I32">
        <v>139.06</v>
      </c>
    </row>
    <row r="33" spans="1:9" x14ac:dyDescent="0.35">
      <c r="A33" t="s">
        <v>3</v>
      </c>
      <c r="B33" t="s">
        <v>17</v>
      </c>
      <c r="C33">
        <v>0.59919059276580811</v>
      </c>
      <c r="D33">
        <v>6.4761883020401001</v>
      </c>
      <c r="E33" t="b">
        <v>0</v>
      </c>
      <c r="F33" s="9" t="b">
        <v>0</v>
      </c>
      <c r="G33" t="str">
        <f t="shared" si="0"/>
        <v>CORRETTO</v>
      </c>
      <c r="H33">
        <v>50</v>
      </c>
      <c r="I33">
        <v>139.06</v>
      </c>
    </row>
    <row r="34" spans="1:9" x14ac:dyDescent="0.35">
      <c r="A34" s="7" t="s">
        <v>5</v>
      </c>
      <c r="B34" t="s">
        <v>12</v>
      </c>
      <c r="C34">
        <v>1.7060250043869019</v>
      </c>
      <c r="D34">
        <v>6.494261622428894</v>
      </c>
      <c r="E34" t="b">
        <v>0</v>
      </c>
      <c r="F34" s="7" t="b">
        <v>0</v>
      </c>
      <c r="G34" t="str">
        <f t="shared" si="0"/>
        <v>CORRETTO</v>
      </c>
      <c r="H34">
        <v>26.93</v>
      </c>
      <c r="I34">
        <v>79.86</v>
      </c>
    </row>
    <row r="35" spans="1:9" x14ac:dyDescent="0.35">
      <c r="A35" t="s">
        <v>22</v>
      </c>
      <c r="B35" t="s">
        <v>18</v>
      </c>
      <c r="C35">
        <v>0.67654192447662354</v>
      </c>
      <c r="D35">
        <v>6.5081894397735596</v>
      </c>
      <c r="E35" t="b">
        <v>0</v>
      </c>
      <c r="F35" s="9" t="b">
        <v>0</v>
      </c>
      <c r="G35" t="str">
        <f t="shared" si="0"/>
        <v>CORRETTO</v>
      </c>
      <c r="H35">
        <v>40</v>
      </c>
      <c r="I35">
        <v>103.03</v>
      </c>
    </row>
    <row r="36" spans="1:9" x14ac:dyDescent="0.35">
      <c r="A36" s="7" t="s">
        <v>5</v>
      </c>
      <c r="B36" t="s">
        <v>15</v>
      </c>
      <c r="C36">
        <v>1.7060250043869019</v>
      </c>
      <c r="D36">
        <v>6.5185701847076416</v>
      </c>
      <c r="E36" t="b">
        <v>1</v>
      </c>
      <c r="F36" s="7" t="b">
        <v>1</v>
      </c>
      <c r="G36" t="str">
        <f t="shared" si="0"/>
        <v>CORRETTO</v>
      </c>
      <c r="H36">
        <v>26.93</v>
      </c>
      <c r="I36">
        <v>79.86</v>
      </c>
    </row>
    <row r="37" spans="1:9" x14ac:dyDescent="0.35">
      <c r="A37" s="7" t="s">
        <v>5</v>
      </c>
      <c r="B37" t="s">
        <v>16</v>
      </c>
      <c r="C37">
        <v>1.7060250043869019</v>
      </c>
      <c r="D37">
        <v>6.5771442651748657</v>
      </c>
      <c r="E37" t="b">
        <v>0</v>
      </c>
      <c r="F37" s="7" t="b">
        <v>0</v>
      </c>
      <c r="G37" t="str">
        <f t="shared" si="0"/>
        <v>CORRETTO</v>
      </c>
      <c r="H37">
        <v>26.93</v>
      </c>
      <c r="I37">
        <v>79.86</v>
      </c>
    </row>
    <row r="38" spans="1:9" x14ac:dyDescent="0.35">
      <c r="A38" t="s">
        <v>3</v>
      </c>
      <c r="B38" t="s">
        <v>12</v>
      </c>
      <c r="C38">
        <v>0.59919059276580811</v>
      </c>
      <c r="D38">
        <v>6.6070717573165894</v>
      </c>
      <c r="E38" t="b">
        <v>0</v>
      </c>
      <c r="F38" s="9" t="b">
        <v>0</v>
      </c>
      <c r="G38" t="str">
        <f t="shared" si="0"/>
        <v>CORRETTO</v>
      </c>
      <c r="H38">
        <v>50</v>
      </c>
      <c r="I38">
        <v>139.06</v>
      </c>
    </row>
    <row r="39" spans="1:9" x14ac:dyDescent="0.35">
      <c r="A39" s="6" t="s">
        <v>11</v>
      </c>
      <c r="B39" t="s">
        <v>13</v>
      </c>
      <c r="C39">
        <v>8.705437183380127E-2</v>
      </c>
      <c r="D39">
        <v>6.6338890790939331</v>
      </c>
      <c r="E39" t="b">
        <v>0</v>
      </c>
      <c r="F39" s="8" t="b">
        <v>0</v>
      </c>
      <c r="G39" t="str">
        <f t="shared" si="0"/>
        <v>CORRETTO</v>
      </c>
      <c r="H39">
        <v>70</v>
      </c>
      <c r="I39">
        <v>154.86000000000001</v>
      </c>
    </row>
    <row r="40" spans="1:9" x14ac:dyDescent="0.35">
      <c r="A40" t="s">
        <v>3</v>
      </c>
      <c r="B40" t="s">
        <v>16</v>
      </c>
      <c r="C40">
        <v>0.59919059276580811</v>
      </c>
      <c r="D40">
        <v>6.634102463722229</v>
      </c>
      <c r="E40" t="b">
        <v>1</v>
      </c>
      <c r="F40" s="9" t="b">
        <v>0</v>
      </c>
      <c r="G40" t="str">
        <f t="shared" si="0"/>
        <v>SBAGLIATO</v>
      </c>
      <c r="H40">
        <v>50</v>
      </c>
      <c r="I40">
        <v>139.06</v>
      </c>
    </row>
    <row r="41" spans="1:9" x14ac:dyDescent="0.35">
      <c r="A41" t="s">
        <v>11</v>
      </c>
      <c r="B41" t="s">
        <v>17</v>
      </c>
      <c r="C41">
        <v>8.705437183380127E-2</v>
      </c>
      <c r="D41">
        <v>6.6565585136413574</v>
      </c>
      <c r="E41" t="b">
        <v>0</v>
      </c>
      <c r="F41" s="9" t="b">
        <v>0</v>
      </c>
      <c r="G41" t="str">
        <f t="shared" si="0"/>
        <v>CORRETTO</v>
      </c>
      <c r="H41">
        <v>70</v>
      </c>
      <c r="I41">
        <v>154.86000000000001</v>
      </c>
    </row>
    <row r="42" spans="1:9" x14ac:dyDescent="0.35">
      <c r="A42" t="s">
        <v>11</v>
      </c>
      <c r="B42" t="s">
        <v>18</v>
      </c>
      <c r="C42">
        <v>8.705437183380127E-2</v>
      </c>
      <c r="D42">
        <v>6.6565585136413574</v>
      </c>
      <c r="E42" t="b">
        <v>0</v>
      </c>
      <c r="F42" s="9" t="b">
        <v>0</v>
      </c>
      <c r="G42" t="str">
        <f t="shared" si="0"/>
        <v>CORRETTO</v>
      </c>
      <c r="H42">
        <v>70</v>
      </c>
      <c r="I42">
        <v>154.86000000000001</v>
      </c>
    </row>
    <row r="43" spans="1:9" x14ac:dyDescent="0.35">
      <c r="A43" t="s">
        <v>11</v>
      </c>
      <c r="B43" t="s">
        <v>14</v>
      </c>
      <c r="C43">
        <v>8.705437183380127E-2</v>
      </c>
      <c r="D43">
        <v>6.6792279481887817</v>
      </c>
      <c r="E43" t="b">
        <v>1</v>
      </c>
      <c r="F43" s="9" t="b">
        <v>0</v>
      </c>
      <c r="G43" t="str">
        <f t="shared" si="0"/>
        <v>SBAGLIATO</v>
      </c>
      <c r="H43">
        <v>70</v>
      </c>
      <c r="I43">
        <v>154.86000000000001</v>
      </c>
    </row>
    <row r="44" spans="1:9" x14ac:dyDescent="0.35">
      <c r="A44" t="s">
        <v>11</v>
      </c>
      <c r="B44" t="s">
        <v>16</v>
      </c>
      <c r="C44">
        <v>8.705437183380127E-2</v>
      </c>
      <c r="D44">
        <v>6.6792279481887817</v>
      </c>
      <c r="E44" t="b">
        <v>0</v>
      </c>
      <c r="F44" s="9" t="b">
        <v>0</v>
      </c>
      <c r="G44" t="str">
        <f t="shared" si="0"/>
        <v>CORRETTO</v>
      </c>
      <c r="H44">
        <v>70</v>
      </c>
      <c r="I44">
        <v>154.86000000000001</v>
      </c>
    </row>
    <row r="45" spans="1:9" x14ac:dyDescent="0.35">
      <c r="A45" t="s">
        <v>11</v>
      </c>
      <c r="B45" t="s">
        <v>12</v>
      </c>
      <c r="C45">
        <v>8.705437183380127E-2</v>
      </c>
      <c r="D45">
        <v>6.682855486869812</v>
      </c>
      <c r="E45" t="b">
        <v>0</v>
      </c>
      <c r="F45" s="9" t="b">
        <v>0</v>
      </c>
      <c r="G45" t="str">
        <f t="shared" si="0"/>
        <v>CORRETTO</v>
      </c>
      <c r="H45">
        <v>70</v>
      </c>
      <c r="I45">
        <v>154.86000000000001</v>
      </c>
    </row>
    <row r="46" spans="1:9" x14ac:dyDescent="0.35">
      <c r="A46" t="s">
        <v>22</v>
      </c>
      <c r="B46" t="s">
        <v>16</v>
      </c>
      <c r="C46">
        <v>0.67654192447662354</v>
      </c>
      <c r="D46">
        <v>6.6832846403121948</v>
      </c>
      <c r="E46" t="b">
        <v>1</v>
      </c>
      <c r="F46" s="9" t="b">
        <v>0</v>
      </c>
      <c r="G46" t="str">
        <f t="shared" si="0"/>
        <v>SBAGLIATO</v>
      </c>
      <c r="H46">
        <v>40</v>
      </c>
      <c r="I46">
        <v>103.03</v>
      </c>
    </row>
    <row r="47" spans="1:9" x14ac:dyDescent="0.35">
      <c r="A47" s="7" t="s">
        <v>5</v>
      </c>
      <c r="B47" t="s">
        <v>14</v>
      </c>
      <c r="C47">
        <v>1.7060250043869019</v>
      </c>
      <c r="D47">
        <v>6.7122530937194824</v>
      </c>
      <c r="E47" t="b">
        <v>0</v>
      </c>
      <c r="F47" s="7" t="b">
        <v>0</v>
      </c>
      <c r="G47" t="str">
        <f t="shared" si="0"/>
        <v>CORRETTO</v>
      </c>
      <c r="H47">
        <v>26.93</v>
      </c>
      <c r="I47">
        <v>79.86</v>
      </c>
    </row>
    <row r="48" spans="1:9" x14ac:dyDescent="0.35">
      <c r="A48" t="s">
        <v>11</v>
      </c>
      <c r="B48" t="s">
        <v>15</v>
      </c>
      <c r="C48">
        <v>8.705437183380127E-2</v>
      </c>
      <c r="D48">
        <v>6.7209434509277344</v>
      </c>
      <c r="E48" t="b">
        <v>1</v>
      </c>
      <c r="F48" s="9" t="b">
        <v>0</v>
      </c>
      <c r="G48" t="str">
        <f t="shared" si="0"/>
        <v>SBAGLIATO</v>
      </c>
      <c r="H48">
        <v>70</v>
      </c>
      <c r="I48">
        <v>154.86000000000001</v>
      </c>
    </row>
    <row r="49" spans="1:9" x14ac:dyDescent="0.35">
      <c r="A49" t="s">
        <v>22</v>
      </c>
      <c r="B49" t="s">
        <v>12</v>
      </c>
      <c r="C49">
        <v>0.67654192447662354</v>
      </c>
      <c r="D49">
        <v>6.7213302850723267</v>
      </c>
      <c r="E49" t="b">
        <v>0</v>
      </c>
      <c r="F49" s="9" t="b">
        <v>0</v>
      </c>
      <c r="G49" t="str">
        <f t="shared" si="0"/>
        <v>CORRETTO</v>
      </c>
      <c r="H49">
        <v>40</v>
      </c>
      <c r="I49">
        <v>103.03</v>
      </c>
    </row>
    <row r="50" spans="1:9" x14ac:dyDescent="0.35">
      <c r="A50" s="6" t="s">
        <v>9</v>
      </c>
      <c r="B50" t="s">
        <v>13</v>
      </c>
      <c r="C50">
        <v>0.22435188293457031</v>
      </c>
      <c r="D50">
        <v>6.8001002073287964</v>
      </c>
      <c r="E50" t="b">
        <v>0</v>
      </c>
      <c r="F50" s="8" t="b">
        <v>0</v>
      </c>
      <c r="G50" t="str">
        <f t="shared" si="0"/>
        <v>CORRETTO</v>
      </c>
      <c r="H50">
        <v>65</v>
      </c>
      <c r="I50">
        <v>160.43</v>
      </c>
    </row>
    <row r="51" spans="1:9" x14ac:dyDescent="0.35">
      <c r="A51" t="s">
        <v>9</v>
      </c>
      <c r="B51" t="s">
        <v>18</v>
      </c>
      <c r="C51">
        <v>0.22435188293457031</v>
      </c>
      <c r="D51">
        <v>6.8642431497573853</v>
      </c>
      <c r="E51" t="b">
        <v>0</v>
      </c>
      <c r="F51" s="9" t="b">
        <v>0</v>
      </c>
      <c r="G51" t="str">
        <f t="shared" si="0"/>
        <v>CORRETTO</v>
      </c>
      <c r="H51">
        <v>65</v>
      </c>
      <c r="I51">
        <v>160.43</v>
      </c>
    </row>
    <row r="52" spans="1:9" x14ac:dyDescent="0.35">
      <c r="A52" t="s">
        <v>9</v>
      </c>
      <c r="B52" t="s">
        <v>17</v>
      </c>
      <c r="C52">
        <v>0.22435188293457031</v>
      </c>
      <c r="D52">
        <v>6.9017589092254639</v>
      </c>
      <c r="E52" t="b">
        <v>0</v>
      </c>
      <c r="F52" s="9" t="b">
        <v>0</v>
      </c>
      <c r="G52" t="str">
        <f t="shared" si="0"/>
        <v>CORRETTO</v>
      </c>
      <c r="H52">
        <v>65</v>
      </c>
      <c r="I52">
        <v>160.43</v>
      </c>
    </row>
    <row r="53" spans="1:9" x14ac:dyDescent="0.35">
      <c r="A53" t="s">
        <v>3</v>
      </c>
      <c r="B53" t="s">
        <v>15</v>
      </c>
      <c r="C53">
        <v>0.59919059276580811</v>
      </c>
      <c r="D53">
        <v>6.9675880670547485</v>
      </c>
      <c r="E53" t="b">
        <v>1</v>
      </c>
      <c r="F53" s="9" t="b">
        <v>0</v>
      </c>
      <c r="G53" t="str">
        <f t="shared" si="0"/>
        <v>SBAGLIATO</v>
      </c>
      <c r="H53">
        <v>50</v>
      </c>
      <c r="I53">
        <v>139.06</v>
      </c>
    </row>
    <row r="54" spans="1:9" x14ac:dyDescent="0.35">
      <c r="A54" t="s">
        <v>9</v>
      </c>
      <c r="B54" t="s">
        <v>12</v>
      </c>
      <c r="C54">
        <v>0.22435188293457031</v>
      </c>
      <c r="D54">
        <v>6.9703847169876099</v>
      </c>
      <c r="E54" t="b">
        <v>0</v>
      </c>
      <c r="F54" s="9" t="b">
        <v>0</v>
      </c>
      <c r="G54" t="str">
        <f t="shared" si="0"/>
        <v>CORRETTO</v>
      </c>
      <c r="H54">
        <v>65</v>
      </c>
      <c r="I54">
        <v>160.43</v>
      </c>
    </row>
    <row r="55" spans="1:9" x14ac:dyDescent="0.35">
      <c r="A55" t="s">
        <v>9</v>
      </c>
      <c r="B55" t="s">
        <v>16</v>
      </c>
      <c r="C55">
        <v>0.22435188293457031</v>
      </c>
      <c r="D55">
        <v>6.999552845954895</v>
      </c>
      <c r="E55" t="b">
        <v>1</v>
      </c>
      <c r="F55" s="9" t="b">
        <v>0</v>
      </c>
      <c r="G55" t="str">
        <f t="shared" si="0"/>
        <v>SBAGLIATO</v>
      </c>
      <c r="H55">
        <v>65</v>
      </c>
      <c r="I55">
        <v>160.43</v>
      </c>
    </row>
    <row r="56" spans="1:9" x14ac:dyDescent="0.35">
      <c r="A56" t="s">
        <v>9</v>
      </c>
      <c r="B56" t="s">
        <v>14</v>
      </c>
      <c r="C56">
        <v>0.22435188293457031</v>
      </c>
      <c r="D56">
        <v>7.0204097032546997</v>
      </c>
      <c r="E56" t="b">
        <v>1</v>
      </c>
      <c r="F56" s="9" t="b">
        <v>0</v>
      </c>
      <c r="G56" t="str">
        <f t="shared" si="0"/>
        <v>SBAGLIATO</v>
      </c>
      <c r="H56">
        <v>65</v>
      </c>
      <c r="I56">
        <v>160.43</v>
      </c>
    </row>
    <row r="57" spans="1:9" x14ac:dyDescent="0.35">
      <c r="A57" t="s">
        <v>9</v>
      </c>
      <c r="B57" t="s">
        <v>15</v>
      </c>
      <c r="C57">
        <v>0.22435188293457031</v>
      </c>
      <c r="D57">
        <v>7.0244520902633667</v>
      </c>
      <c r="E57" t="b">
        <v>0</v>
      </c>
      <c r="F57" s="9" t="b">
        <v>0</v>
      </c>
      <c r="G57" t="str">
        <f t="shared" si="0"/>
        <v>CORRETTO</v>
      </c>
      <c r="H57">
        <v>65</v>
      </c>
      <c r="I57">
        <v>160.43</v>
      </c>
    </row>
    <row r="58" spans="1:9" x14ac:dyDescent="0.35">
      <c r="A58" s="7" t="s">
        <v>4</v>
      </c>
      <c r="B58" t="s">
        <v>13</v>
      </c>
      <c r="C58">
        <v>1.1774885654449463</v>
      </c>
      <c r="D58">
        <v>7.6909399032592773</v>
      </c>
      <c r="E58" t="b">
        <v>0</v>
      </c>
      <c r="F58" s="7" t="b">
        <v>0</v>
      </c>
      <c r="G58" t="str">
        <f t="shared" si="0"/>
        <v>CORRETTO</v>
      </c>
      <c r="H58">
        <v>90</v>
      </c>
      <c r="I58">
        <v>200.07</v>
      </c>
    </row>
    <row r="59" spans="1:9" x14ac:dyDescent="0.35">
      <c r="A59" s="7" t="s">
        <v>4</v>
      </c>
      <c r="B59" t="s">
        <v>17</v>
      </c>
      <c r="C59">
        <v>1.1774885654449463</v>
      </c>
      <c r="D59">
        <v>8.0609136819839478</v>
      </c>
      <c r="E59" t="b">
        <v>0</v>
      </c>
      <c r="F59" s="7" t="b">
        <v>0</v>
      </c>
      <c r="G59" t="str">
        <f t="shared" si="0"/>
        <v>CORRETTO</v>
      </c>
      <c r="H59">
        <v>90</v>
      </c>
      <c r="I59">
        <v>200.07</v>
      </c>
    </row>
    <row r="60" spans="1:9" x14ac:dyDescent="0.35">
      <c r="A60" s="7" t="s">
        <v>4</v>
      </c>
      <c r="B60" t="s">
        <v>18</v>
      </c>
      <c r="C60">
        <v>1.1774885654449463</v>
      </c>
      <c r="D60">
        <v>8.1618618965148926</v>
      </c>
      <c r="E60" t="b">
        <v>0</v>
      </c>
      <c r="F60" s="7" t="b">
        <v>0</v>
      </c>
      <c r="G60" t="str">
        <f t="shared" si="0"/>
        <v>CORRETTO</v>
      </c>
      <c r="H60">
        <v>90</v>
      </c>
      <c r="I60">
        <v>200.07</v>
      </c>
    </row>
    <row r="61" spans="1:9" x14ac:dyDescent="0.35">
      <c r="A61" s="6" t="s">
        <v>7</v>
      </c>
      <c r="B61" t="s">
        <v>13</v>
      </c>
      <c r="C61">
        <v>0.92213213443756104</v>
      </c>
      <c r="D61">
        <v>8.3265292644500732</v>
      </c>
      <c r="E61" t="b">
        <v>0</v>
      </c>
      <c r="F61" s="8" t="b">
        <v>0</v>
      </c>
      <c r="G61" t="str">
        <f t="shared" si="0"/>
        <v>CORRETTO</v>
      </c>
      <c r="H61">
        <v>22.8</v>
      </c>
      <c r="I61">
        <v>105.08</v>
      </c>
    </row>
    <row r="62" spans="1:9" x14ac:dyDescent="0.35">
      <c r="A62" s="6" t="s">
        <v>24</v>
      </c>
      <c r="B62" t="s">
        <v>13</v>
      </c>
      <c r="C62">
        <v>0.85561990737915039</v>
      </c>
      <c r="D62">
        <v>8.348497748374939</v>
      </c>
      <c r="E62" t="b">
        <v>0</v>
      </c>
      <c r="F62" s="8" t="b">
        <v>0</v>
      </c>
      <c r="G62" t="str">
        <f t="shared" si="0"/>
        <v>CORRETTO</v>
      </c>
      <c r="H62">
        <v>23.47</v>
      </c>
      <c r="I62">
        <v>92.11</v>
      </c>
    </row>
    <row r="63" spans="1:9" x14ac:dyDescent="0.35">
      <c r="A63" s="6" t="s">
        <v>6</v>
      </c>
      <c r="B63" t="s">
        <v>15</v>
      </c>
      <c r="C63">
        <v>0.15823245048522949</v>
      </c>
      <c r="D63">
        <v>8.3770942687988281</v>
      </c>
      <c r="E63" t="b">
        <v>0</v>
      </c>
      <c r="F63" s="8" t="b">
        <v>0</v>
      </c>
      <c r="G63" t="str">
        <f t="shared" si="0"/>
        <v>CORRETTO</v>
      </c>
      <c r="H63">
        <v>39.51</v>
      </c>
      <c r="I63">
        <v>122.02</v>
      </c>
    </row>
    <row r="64" spans="1:9" x14ac:dyDescent="0.35">
      <c r="A64" t="s">
        <v>6</v>
      </c>
      <c r="B64" t="s">
        <v>14</v>
      </c>
      <c r="C64">
        <v>0.15823245048522949</v>
      </c>
      <c r="D64">
        <v>8.496207594871521</v>
      </c>
      <c r="E64" t="b">
        <v>0</v>
      </c>
      <c r="F64" s="9" t="b">
        <v>0</v>
      </c>
      <c r="G64" t="str">
        <f t="shared" si="0"/>
        <v>CORRETTO</v>
      </c>
      <c r="H64">
        <v>39.51</v>
      </c>
      <c r="I64">
        <v>122.02</v>
      </c>
    </row>
    <row r="65" spans="1:9" x14ac:dyDescent="0.35">
      <c r="A65" t="s">
        <v>6</v>
      </c>
      <c r="B65" t="s">
        <v>16</v>
      </c>
      <c r="C65">
        <v>0.15823245048522949</v>
      </c>
      <c r="D65">
        <v>8.4966808557510376</v>
      </c>
      <c r="E65" t="b">
        <v>0</v>
      </c>
      <c r="F65" s="9" t="b">
        <v>0</v>
      </c>
      <c r="G65" t="str">
        <f t="shared" si="0"/>
        <v>CORRETTO</v>
      </c>
      <c r="H65">
        <v>39.51</v>
      </c>
      <c r="I65">
        <v>122.02</v>
      </c>
    </row>
    <row r="66" spans="1:9" x14ac:dyDescent="0.35">
      <c r="A66" t="s">
        <v>6</v>
      </c>
      <c r="B66" t="s">
        <v>17</v>
      </c>
      <c r="C66">
        <v>0.15823245048522949</v>
      </c>
      <c r="D66">
        <v>8.5053741931915283</v>
      </c>
      <c r="E66" t="b">
        <v>0</v>
      </c>
      <c r="F66" s="9" t="b">
        <v>0</v>
      </c>
      <c r="G66" t="str">
        <f t="shared" si="0"/>
        <v>CORRETTO</v>
      </c>
      <c r="H66">
        <v>39.51</v>
      </c>
      <c r="I66">
        <v>122.02</v>
      </c>
    </row>
    <row r="67" spans="1:9" x14ac:dyDescent="0.35">
      <c r="A67" t="s">
        <v>6</v>
      </c>
      <c r="B67" t="s">
        <v>13</v>
      </c>
      <c r="C67">
        <v>0.15823245048522949</v>
      </c>
      <c r="D67">
        <v>8.5214155912399292</v>
      </c>
      <c r="E67" t="b">
        <v>0</v>
      </c>
      <c r="F67" s="9" t="b">
        <v>0</v>
      </c>
      <c r="G67" t="str">
        <f t="shared" ref="G67:G92" si="1">IF(F67=E67,"CORRETTO","SBAGLIATO")</f>
        <v>CORRETTO</v>
      </c>
      <c r="H67">
        <v>39.51</v>
      </c>
      <c r="I67">
        <v>122.02</v>
      </c>
    </row>
    <row r="68" spans="1:9" x14ac:dyDescent="0.35">
      <c r="A68" s="7" t="s">
        <v>4</v>
      </c>
      <c r="B68" t="s">
        <v>12</v>
      </c>
      <c r="C68">
        <v>1.1774885654449463</v>
      </c>
      <c r="D68">
        <v>8.5288834571838379</v>
      </c>
      <c r="E68" t="b">
        <v>0</v>
      </c>
      <c r="F68" s="7" t="b">
        <v>0</v>
      </c>
      <c r="G68" t="str">
        <f t="shared" si="1"/>
        <v>CORRETTO</v>
      </c>
      <c r="H68">
        <v>90</v>
      </c>
      <c r="I68">
        <v>200.07</v>
      </c>
    </row>
    <row r="69" spans="1:9" x14ac:dyDescent="0.35">
      <c r="A69" t="s">
        <v>6</v>
      </c>
      <c r="B69" t="s">
        <v>18</v>
      </c>
      <c r="C69">
        <v>0.15823245048522949</v>
      </c>
      <c r="D69">
        <v>8.5325014591217041</v>
      </c>
      <c r="E69" t="b">
        <v>0</v>
      </c>
      <c r="F69" s="9" t="b">
        <v>0</v>
      </c>
      <c r="G69" t="str">
        <f t="shared" si="1"/>
        <v>CORRETTO</v>
      </c>
      <c r="H69">
        <v>39.51</v>
      </c>
      <c r="I69">
        <v>122.02</v>
      </c>
    </row>
    <row r="70" spans="1:9" x14ac:dyDescent="0.35">
      <c r="A70" t="s">
        <v>6</v>
      </c>
      <c r="B70" t="s">
        <v>12</v>
      </c>
      <c r="C70">
        <v>0.15823245048522949</v>
      </c>
      <c r="D70">
        <v>8.5353267192840576</v>
      </c>
      <c r="E70" t="b">
        <v>0</v>
      </c>
      <c r="F70" s="9" t="b">
        <v>0</v>
      </c>
      <c r="G70" t="str">
        <f t="shared" si="1"/>
        <v>CORRETTO</v>
      </c>
      <c r="H70">
        <v>39.51</v>
      </c>
      <c r="I70">
        <v>122.02</v>
      </c>
    </row>
    <row r="71" spans="1:9" x14ac:dyDescent="0.35">
      <c r="A71" t="s">
        <v>24</v>
      </c>
      <c r="B71" t="s">
        <v>17</v>
      </c>
      <c r="C71">
        <v>0.85561990737915039</v>
      </c>
      <c r="D71">
        <v>8.542211651802063</v>
      </c>
      <c r="E71" t="b">
        <v>0</v>
      </c>
      <c r="F71" s="9" t="b">
        <v>0</v>
      </c>
      <c r="G71" t="str">
        <f t="shared" si="1"/>
        <v>CORRETTO</v>
      </c>
      <c r="H71">
        <v>23.47</v>
      </c>
      <c r="I71">
        <v>92.11</v>
      </c>
    </row>
    <row r="72" spans="1:9" x14ac:dyDescent="0.35">
      <c r="A72" t="s">
        <v>7</v>
      </c>
      <c r="B72" t="s">
        <v>17</v>
      </c>
      <c r="C72">
        <v>0.92213213443756104</v>
      </c>
      <c r="D72">
        <v>8.5659283399581909</v>
      </c>
      <c r="E72" t="b">
        <v>0</v>
      </c>
      <c r="F72" s="9" t="b">
        <v>0</v>
      </c>
      <c r="G72" t="str">
        <f t="shared" si="1"/>
        <v>CORRETTO</v>
      </c>
      <c r="H72">
        <v>22.8</v>
      </c>
      <c r="I72">
        <v>105.08</v>
      </c>
    </row>
    <row r="73" spans="1:9" x14ac:dyDescent="0.35">
      <c r="A73" t="s">
        <v>24</v>
      </c>
      <c r="B73" t="s">
        <v>18</v>
      </c>
      <c r="C73">
        <v>0.85561990737915039</v>
      </c>
      <c r="D73">
        <v>8.5989749431610107</v>
      </c>
      <c r="E73" t="b">
        <v>0</v>
      </c>
      <c r="F73" s="9" t="b">
        <v>0</v>
      </c>
      <c r="G73" t="str">
        <f t="shared" si="1"/>
        <v>CORRETTO</v>
      </c>
      <c r="H73">
        <v>23.47</v>
      </c>
      <c r="I73">
        <v>92.11</v>
      </c>
    </row>
    <row r="74" spans="1:9" x14ac:dyDescent="0.35">
      <c r="A74" s="6" t="s">
        <v>23</v>
      </c>
      <c r="B74" t="s">
        <v>15</v>
      </c>
      <c r="C74">
        <v>3.6838054656982422E-2</v>
      </c>
      <c r="D74">
        <v>8.6086666584014893</v>
      </c>
      <c r="E74" t="b">
        <v>0</v>
      </c>
      <c r="F74" s="8" t="b">
        <v>0</v>
      </c>
      <c r="G74" t="str">
        <f t="shared" si="1"/>
        <v>CORRETTO</v>
      </c>
      <c r="H74">
        <v>34.28</v>
      </c>
      <c r="I74">
        <v>188.35</v>
      </c>
    </row>
    <row r="75" spans="1:9" x14ac:dyDescent="0.35">
      <c r="A75" t="s">
        <v>23</v>
      </c>
      <c r="B75" t="s">
        <v>14</v>
      </c>
      <c r="C75">
        <v>3.6838054656982422E-2</v>
      </c>
      <c r="D75">
        <v>8.609427809715271</v>
      </c>
      <c r="E75" t="b">
        <v>0</v>
      </c>
      <c r="F75" s="9" t="b">
        <v>0</v>
      </c>
      <c r="G75" t="str">
        <f t="shared" si="1"/>
        <v>CORRETTO</v>
      </c>
      <c r="H75">
        <v>34.28</v>
      </c>
      <c r="I75">
        <v>188.35</v>
      </c>
    </row>
    <row r="76" spans="1:9" x14ac:dyDescent="0.35">
      <c r="A76" t="s">
        <v>23</v>
      </c>
      <c r="B76" t="s">
        <v>12</v>
      </c>
      <c r="C76">
        <v>3.6838054656982422E-2</v>
      </c>
      <c r="D76">
        <v>8.6141979694366455</v>
      </c>
      <c r="E76" t="b">
        <v>0</v>
      </c>
      <c r="F76" s="9" t="b">
        <v>0</v>
      </c>
      <c r="G76" t="str">
        <f t="shared" si="1"/>
        <v>CORRETTO</v>
      </c>
      <c r="H76">
        <v>34.28</v>
      </c>
      <c r="I76">
        <v>188.35</v>
      </c>
    </row>
    <row r="77" spans="1:9" x14ac:dyDescent="0.35">
      <c r="A77" t="s">
        <v>23</v>
      </c>
      <c r="B77" t="s">
        <v>16</v>
      </c>
      <c r="C77">
        <v>3.6838054656982422E-2</v>
      </c>
      <c r="D77">
        <v>8.6189961433410645</v>
      </c>
      <c r="E77" t="b">
        <v>0</v>
      </c>
      <c r="F77" s="9" t="b">
        <v>0</v>
      </c>
      <c r="G77" t="str">
        <f t="shared" si="1"/>
        <v>CORRETTO</v>
      </c>
      <c r="H77">
        <v>34.28</v>
      </c>
      <c r="I77">
        <v>188.35</v>
      </c>
    </row>
    <row r="78" spans="1:9" x14ac:dyDescent="0.35">
      <c r="A78" t="s">
        <v>23</v>
      </c>
      <c r="B78" t="s">
        <v>17</v>
      </c>
      <c r="C78">
        <v>3.6838054656982422E-2</v>
      </c>
      <c r="D78">
        <v>8.6292803287506104</v>
      </c>
      <c r="E78" t="b">
        <v>0</v>
      </c>
      <c r="F78" s="9" t="b">
        <v>0</v>
      </c>
      <c r="G78" t="str">
        <f t="shared" si="1"/>
        <v>CORRETTO</v>
      </c>
      <c r="H78">
        <v>34.28</v>
      </c>
      <c r="I78">
        <v>188.35</v>
      </c>
    </row>
    <row r="79" spans="1:9" x14ac:dyDescent="0.35">
      <c r="A79" t="s">
        <v>7</v>
      </c>
      <c r="B79" t="s">
        <v>18</v>
      </c>
      <c r="C79">
        <v>0.92213213443756104</v>
      </c>
      <c r="D79">
        <v>8.6302822828292847</v>
      </c>
      <c r="E79" t="b">
        <v>0</v>
      </c>
      <c r="F79" s="9" t="b">
        <v>0</v>
      </c>
      <c r="G79" t="str">
        <f t="shared" si="1"/>
        <v>CORRETTO</v>
      </c>
      <c r="H79">
        <v>22.8</v>
      </c>
      <c r="I79">
        <v>105.08</v>
      </c>
    </row>
    <row r="80" spans="1:9" x14ac:dyDescent="0.35">
      <c r="A80" t="s">
        <v>23</v>
      </c>
      <c r="B80" t="s">
        <v>13</v>
      </c>
      <c r="C80">
        <v>3.6838054656982422E-2</v>
      </c>
      <c r="D80">
        <v>8.6338788270950317</v>
      </c>
      <c r="E80" t="b">
        <v>0</v>
      </c>
      <c r="F80" s="9" t="b">
        <v>0</v>
      </c>
      <c r="G80" t="str">
        <f t="shared" si="1"/>
        <v>CORRETTO</v>
      </c>
      <c r="H80">
        <v>34.28</v>
      </c>
      <c r="I80">
        <v>188.35</v>
      </c>
    </row>
    <row r="81" spans="1:9" x14ac:dyDescent="0.35">
      <c r="A81" t="s">
        <v>23</v>
      </c>
      <c r="B81" t="s">
        <v>18</v>
      </c>
      <c r="C81">
        <v>3.6838054656982422E-2</v>
      </c>
      <c r="D81">
        <v>8.6455047130584717</v>
      </c>
      <c r="E81" t="b">
        <v>0</v>
      </c>
      <c r="F81" s="9" t="b">
        <v>0</v>
      </c>
      <c r="G81" t="str">
        <f t="shared" si="1"/>
        <v>CORRETTO</v>
      </c>
      <c r="H81">
        <v>34.28</v>
      </c>
      <c r="I81">
        <v>188.35</v>
      </c>
    </row>
    <row r="82" spans="1:9" x14ac:dyDescent="0.35">
      <c r="A82" s="7" t="s">
        <v>4</v>
      </c>
      <c r="B82" t="s">
        <v>14</v>
      </c>
      <c r="C82">
        <v>1.1774885654449463</v>
      </c>
      <c r="D82">
        <v>8.8456118106842041</v>
      </c>
      <c r="E82" t="b">
        <v>0</v>
      </c>
      <c r="F82" s="7" t="b">
        <v>0</v>
      </c>
      <c r="G82" t="str">
        <f t="shared" si="1"/>
        <v>CORRETTO</v>
      </c>
      <c r="H82">
        <v>90</v>
      </c>
      <c r="I82">
        <v>200.07</v>
      </c>
    </row>
    <row r="83" spans="1:9" x14ac:dyDescent="0.35">
      <c r="A83" s="7" t="s">
        <v>4</v>
      </c>
      <c r="B83" t="s">
        <v>16</v>
      </c>
      <c r="C83">
        <v>1.1774885654449463</v>
      </c>
      <c r="D83">
        <v>8.8456118106842041</v>
      </c>
      <c r="E83" t="b">
        <v>0</v>
      </c>
      <c r="F83" s="7" t="b">
        <v>0</v>
      </c>
      <c r="G83" t="str">
        <f t="shared" si="1"/>
        <v>CORRETTO</v>
      </c>
      <c r="H83">
        <v>90</v>
      </c>
      <c r="I83">
        <v>200.07</v>
      </c>
    </row>
    <row r="84" spans="1:9" x14ac:dyDescent="0.35">
      <c r="A84" t="s">
        <v>7</v>
      </c>
      <c r="B84" t="s">
        <v>12</v>
      </c>
      <c r="C84">
        <v>0.92213213443756104</v>
      </c>
      <c r="D84">
        <v>8.8553321361541748</v>
      </c>
      <c r="E84" t="b">
        <v>0</v>
      </c>
      <c r="F84" s="9" t="b">
        <v>0</v>
      </c>
      <c r="G84" t="str">
        <f t="shared" si="1"/>
        <v>CORRETTO</v>
      </c>
      <c r="H84">
        <v>22.8</v>
      </c>
      <c r="I84">
        <v>105.08</v>
      </c>
    </row>
    <row r="85" spans="1:9" x14ac:dyDescent="0.35">
      <c r="A85" t="s">
        <v>24</v>
      </c>
      <c r="B85" t="s">
        <v>12</v>
      </c>
      <c r="C85">
        <v>0.85561990737915039</v>
      </c>
      <c r="D85">
        <v>8.8655680418014526</v>
      </c>
      <c r="E85" t="b">
        <v>0</v>
      </c>
      <c r="F85" s="9" t="b">
        <v>0</v>
      </c>
      <c r="G85" t="str">
        <f t="shared" si="1"/>
        <v>CORRETTO</v>
      </c>
      <c r="H85">
        <v>23.47</v>
      </c>
      <c r="I85">
        <v>92.11</v>
      </c>
    </row>
    <row r="86" spans="1:9" x14ac:dyDescent="0.35">
      <c r="A86" s="7" t="s">
        <v>4</v>
      </c>
      <c r="B86" t="s">
        <v>15</v>
      </c>
      <c r="C86">
        <v>1.1774885654449463</v>
      </c>
      <c r="D86">
        <v>8.8684284687042236</v>
      </c>
      <c r="E86" t="b">
        <v>1</v>
      </c>
      <c r="F86" s="7" t="b">
        <v>1</v>
      </c>
      <c r="G86" t="str">
        <f t="shared" si="1"/>
        <v>CORRETTO</v>
      </c>
      <c r="H86">
        <v>90</v>
      </c>
      <c r="I86">
        <v>200.07</v>
      </c>
    </row>
    <row r="87" spans="1:9" x14ac:dyDescent="0.35">
      <c r="A87" t="s">
        <v>24</v>
      </c>
      <c r="B87" t="s">
        <v>16</v>
      </c>
      <c r="C87">
        <v>0.85561990737915039</v>
      </c>
      <c r="D87">
        <v>8.9783728122711182</v>
      </c>
      <c r="E87" t="b">
        <v>0</v>
      </c>
      <c r="F87" s="9" t="b">
        <v>0</v>
      </c>
      <c r="G87" t="str">
        <f t="shared" si="1"/>
        <v>CORRETTO</v>
      </c>
      <c r="H87">
        <v>23.47</v>
      </c>
      <c r="I87">
        <v>92.11</v>
      </c>
    </row>
    <row r="88" spans="1:9" x14ac:dyDescent="0.35">
      <c r="A88" t="s">
        <v>7</v>
      </c>
      <c r="B88" t="s">
        <v>16</v>
      </c>
      <c r="C88">
        <v>0.92213213443756104</v>
      </c>
      <c r="D88">
        <v>9.0207785367965698</v>
      </c>
      <c r="E88" t="b">
        <v>0</v>
      </c>
      <c r="F88" s="9" t="b">
        <v>0</v>
      </c>
      <c r="G88" t="str">
        <f t="shared" si="1"/>
        <v>CORRETTO</v>
      </c>
      <c r="H88">
        <v>22.8</v>
      </c>
      <c r="I88">
        <v>105.08</v>
      </c>
    </row>
    <row r="89" spans="1:9" x14ac:dyDescent="0.35">
      <c r="A89" t="s">
        <v>24</v>
      </c>
      <c r="B89" t="s">
        <v>14</v>
      </c>
      <c r="C89">
        <v>0.85561990737915039</v>
      </c>
      <c r="D89">
        <v>9.1378933191299438</v>
      </c>
      <c r="E89" t="b">
        <v>0</v>
      </c>
      <c r="F89" s="9" t="b">
        <v>0</v>
      </c>
      <c r="G89" t="str">
        <f t="shared" si="1"/>
        <v>CORRETTO</v>
      </c>
      <c r="H89">
        <v>23.47</v>
      </c>
      <c r="I89">
        <v>92.11</v>
      </c>
    </row>
    <row r="90" spans="1:9" x14ac:dyDescent="0.35">
      <c r="A90" t="s">
        <v>7</v>
      </c>
      <c r="B90" t="s">
        <v>14</v>
      </c>
      <c r="C90">
        <v>0.92213213443756104</v>
      </c>
      <c r="D90">
        <v>9.2010915279388428</v>
      </c>
      <c r="E90" t="b">
        <v>0</v>
      </c>
      <c r="F90" s="9" t="b">
        <v>0</v>
      </c>
      <c r="G90" t="str">
        <f t="shared" si="1"/>
        <v>CORRETTO</v>
      </c>
      <c r="H90">
        <v>22.8</v>
      </c>
      <c r="I90">
        <v>105.08</v>
      </c>
    </row>
    <row r="91" spans="1:9" x14ac:dyDescent="0.35">
      <c r="A91" t="s">
        <v>24</v>
      </c>
      <c r="B91" t="s">
        <v>15</v>
      </c>
      <c r="C91">
        <v>0.85561990737915039</v>
      </c>
      <c r="D91">
        <v>9.2041176557540894</v>
      </c>
      <c r="E91" t="b">
        <v>1</v>
      </c>
      <c r="F91" s="9" t="b">
        <v>0</v>
      </c>
      <c r="G91" t="str">
        <f t="shared" si="1"/>
        <v>SBAGLIATO</v>
      </c>
      <c r="H91">
        <v>23.47</v>
      </c>
      <c r="I91">
        <v>92.11</v>
      </c>
    </row>
    <row r="92" spans="1:9" x14ac:dyDescent="0.35">
      <c r="A92" t="s">
        <v>7</v>
      </c>
      <c r="B92" t="s">
        <v>15</v>
      </c>
      <c r="C92">
        <v>0.92213213443756104</v>
      </c>
      <c r="D92">
        <v>9.2486613988876343</v>
      </c>
      <c r="E92" t="b">
        <v>1</v>
      </c>
      <c r="F92" s="9" t="b">
        <v>0</v>
      </c>
      <c r="G92" t="str">
        <f t="shared" si="1"/>
        <v>SBAGLIATO</v>
      </c>
      <c r="H92">
        <v>22.8</v>
      </c>
      <c r="I92">
        <v>105.08</v>
      </c>
    </row>
  </sheetData>
  <sortState xmlns:xlrd2="http://schemas.microsoft.com/office/spreadsheetml/2017/richdata2" ref="A2:E92">
    <sortCondition ref="D2:D92"/>
  </sortState>
  <conditionalFormatting sqref="G2:G92">
    <cfRule type="cellIs" dxfId="0" priority="1" operator="lessThan">
      <formula>$G$2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CARMINATI</dc:creator>
  <cp:lastModifiedBy>LUCA CARMINATI</cp:lastModifiedBy>
  <dcterms:created xsi:type="dcterms:W3CDTF">2025-10-27T19:37:31Z</dcterms:created>
  <dcterms:modified xsi:type="dcterms:W3CDTF">2025-11-06T20:49:55Z</dcterms:modified>
</cp:coreProperties>
</file>