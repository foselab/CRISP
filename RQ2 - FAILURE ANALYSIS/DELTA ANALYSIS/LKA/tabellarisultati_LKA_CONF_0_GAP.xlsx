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ANALISI FAILURE\analisi GAP\"/>
    </mc:Choice>
  </mc:AlternateContent>
  <xr:revisionPtr revIDLastSave="0" documentId="13_ncr:1_{97215338-A20A-4EDD-BA9A-0B9D9B28795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K31" i="1"/>
  <c r="K30" i="1"/>
  <c r="K32" i="1"/>
  <c r="K33" i="1"/>
  <c r="K34" i="1"/>
  <c r="K35" i="1"/>
  <c r="K36" i="1"/>
  <c r="K37" i="1"/>
  <c r="K38" i="1"/>
  <c r="K39" i="1"/>
  <c r="K40" i="1"/>
  <c r="K41" i="1"/>
  <c r="K29" i="1"/>
  <c r="M33" i="1"/>
  <c r="M31" i="1"/>
  <c r="M32" i="1"/>
  <c r="M30" i="1"/>
  <c r="M29" i="1"/>
  <c r="J40" i="1"/>
  <c r="J30" i="1"/>
  <c r="J31" i="1"/>
  <c r="J32" i="1"/>
  <c r="J33" i="1"/>
  <c r="J34" i="1"/>
  <c r="J35" i="1"/>
  <c r="J36" i="1"/>
  <c r="J37" i="1"/>
  <c r="J38" i="1"/>
  <c r="J39" i="1"/>
  <c r="J41" i="1"/>
  <c r="J29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K24" i="1"/>
  <c r="K23" i="1"/>
  <c r="K22" i="1"/>
  <c r="I19" i="1"/>
  <c r="I18" i="1"/>
  <c r="J15" i="1"/>
  <c r="J11" i="1"/>
  <c r="J3" i="1"/>
  <c r="J4" i="1"/>
  <c r="J5" i="1"/>
  <c r="J6" i="1"/>
  <c r="J7" i="1"/>
  <c r="J8" i="1"/>
  <c r="J9" i="1"/>
  <c r="J10" i="1"/>
  <c r="J12" i="1"/>
  <c r="J13" i="1"/>
  <c r="J14" i="1"/>
  <c r="J2" i="1"/>
  <c r="N15" i="1"/>
  <c r="M15" i="1"/>
  <c r="L15" i="1"/>
  <c r="K15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<sst xmlns="http://schemas.openxmlformats.org/spreadsheetml/2006/main" count="233" uniqueCount="44">
  <si>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</si>
  <si>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</si>
  <si>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</si>
  <si>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</si>
  <si>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</si>
  <si>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</si>
  <si>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</si>
  <si>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</si>
  <si>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</si>
  <si>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</si>
  <si>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</si>
  <si>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</si>
  <si>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</si>
  <si>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</si>
  <si>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</si>
  <si>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</si>
  <si>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</si>
  <si>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</si>
  <si>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</si>
  <si>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</si>
  <si>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</si>
  <si>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</si>
  <si>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</si>
  <si>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MAX FITNESS</t>
  </si>
  <si>
    <t>MIN FITNESS</t>
  </si>
  <si>
    <t>DELTA</t>
  </si>
  <si>
    <t>FAILURE OTA 1</t>
  </si>
  <si>
    <t>FAILURE OTA 2</t>
  </si>
  <si>
    <t>FAILURE OTA 3</t>
  </si>
  <si>
    <t>TOTAL FAULTS</t>
  </si>
  <si>
    <t>MEDIA</t>
  </si>
  <si>
    <t>MEDIANA</t>
  </si>
  <si>
    <t>CORRELAZIONE PEARSON DELTA-FAULT -&gt;</t>
  </si>
  <si>
    <t>CORRELAZIONE PEARSON MIN-FAULT -&gt;</t>
  </si>
  <si>
    <t>CORRELAZIONE PEARSON MAX-FAULT-&gt;</t>
  </si>
  <si>
    <t>RANGO DELTA</t>
  </si>
  <si>
    <t>RANGO FAULT</t>
  </si>
  <si>
    <t>SPEARMAN CORRELATION</t>
  </si>
  <si>
    <t xml:space="preserve">N: </t>
  </si>
  <si>
    <t>T statistic:</t>
  </si>
  <si>
    <t xml:space="preserve">DF: </t>
  </si>
  <si>
    <t>p-value:</t>
  </si>
  <si>
    <t>RANGO MIN</t>
  </si>
  <si>
    <t>SPEARMAN CORRELATION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</si>
</sst>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6A6A"/>
        <bgColor indexed="64"/>
      </patternFill>
    </fill>
    <fill>
      <patternFill patternType="solid">
        <fgColor rgb="FF8BFF9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  <xf numFmtId="0" fontId="0" fillId="1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>
      <selection activeCell="M45" sqref="M45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  <col min="6" max="6" width="33.1796875" bestFit="1" customWidth="1"/>
    <col min="7" max="7" width="11.81640625" bestFit="1" customWidth="1"/>
    <col min="8" max="8" width="33.1796875" bestFit="1" customWidth="1"/>
    <col min="9" max="10" width="12.7265625" bestFit="1" customWidth="1"/>
    <col min="11" max="11" width="13.1796875" bestFit="1" customWidth="1"/>
    <col min="12" max="12" width="26.81640625" bestFit="1" customWidth="1"/>
    <col min="13" max="13" width="13.1796875" bestFit="1" customWidth="1"/>
  </cols>
  <sheetData>
    <row r="1" spans="1:14" x14ac:dyDescent="0.35">
      <c r="A1" t="s">
        <v>0</v>
      </c>
      <c r="B1" t="s">
        <v>14</v>
      </c>
      <c r="C1" t="s">
        <v>22</v>
      </c>
      <c r="F1" s="1" t="s">
        <v>0</v>
      </c>
      <c r="G1" s="2" t="s">
        <v>23</v>
      </c>
      <c r="H1" s="3" t="s">
        <v>24</v>
      </c>
      <c r="I1" s="4" t="s">
        <v>25</v>
      </c>
      <c r="J1" s="8" t="s">
        <v>29</v>
      </c>
      <c r="K1" s="5" t="s">
        <v>26</v>
      </c>
      <c r="L1" s="5" t="s">
        <v>27</v>
      </c>
      <c r="M1" s="5" t="s">
        <v>28</v>
      </c>
    </row>
    <row r="2" spans="1:14" x14ac:dyDescent="0.35">
      <c r="A2" t="s">
        <v>7</v>
      </c>
      <c r="B2" t="s">
        <v>15</v>
      </c>
      <c r="C2">
        <v>4.9039429426193237</v>
      </c>
      <c r="F2" t="s">
        <v>7</v>
      </c>
      <c r="G2">
        <f>MAX(C2:C8)</f>
        <v>5.9274691343307495</v>
      </c>
      <c r="H2">
        <f>MIN(C2:C8)</f>
        <v>4.4737720489501953</v>
      </c>
      <c r="I2" s="6">
        <f>G2-H2</f>
        <v>1.4536970853805542</v>
      </c>
      <c r="J2">
        <f>SUM(K2:M2)</f>
        <v>4</v>
      </c>
      <c r="K2">
        <v>1</v>
      </c>
      <c r="L2">
        <v>3</v>
      </c>
      <c r="M2">
        <v>0</v>
      </c>
    </row>
    <row r="3" spans="1:14" x14ac:dyDescent="0.35">
      <c r="A3" t="s">
        <v>7</v>
      </c>
      <c r="B3" t="s">
        <v>16</v>
      </c>
      <c r="C3">
        <v>4.4737720489501953</v>
      </c>
      <c r="F3" t="s">
        <v>12</v>
      </c>
      <c r="G3">
        <f>MAX(C9:C15)</f>
        <v>6.9675880670547485</v>
      </c>
      <c r="H3">
        <f>MIN(C9:C15)</f>
        <v>6.3683974742889404</v>
      </c>
      <c r="I3" s="7">
        <f t="shared" ref="I3:I14" si="0">G3-H3</f>
        <v>0.59919059276580811</v>
      </c>
      <c r="J3">
        <f t="shared" ref="J3:J14" si="1">SUM(K3:M3)</f>
        <v>4</v>
      </c>
      <c r="K3">
        <v>1</v>
      </c>
      <c r="L3">
        <v>3</v>
      </c>
      <c r="M3">
        <v>0</v>
      </c>
    </row>
    <row r="4" spans="1:14" x14ac:dyDescent="0.35">
      <c r="A4" t="s">
        <v>7</v>
      </c>
      <c r="B4" t="s">
        <v>17</v>
      </c>
      <c r="C4">
        <v>5.200543999671936</v>
      </c>
      <c r="F4" t="s">
        <v>6</v>
      </c>
      <c r="G4">
        <f>MAX(C16:C22)</f>
        <v>8.8684284687042236</v>
      </c>
      <c r="H4">
        <f>MIN(C16:C22)</f>
        <v>7.6909399032592773</v>
      </c>
      <c r="I4" s="6">
        <f t="shared" si="0"/>
        <v>1.1774885654449463</v>
      </c>
      <c r="J4">
        <f t="shared" si="1"/>
        <v>8</v>
      </c>
      <c r="K4">
        <v>7</v>
      </c>
      <c r="L4">
        <v>1</v>
      </c>
      <c r="M4">
        <v>0</v>
      </c>
    </row>
    <row r="5" spans="1:14" x14ac:dyDescent="0.35">
      <c r="A5" t="s">
        <v>7</v>
      </c>
      <c r="B5" t="s">
        <v>18</v>
      </c>
      <c r="C5">
        <v>5.9274691343307495</v>
      </c>
      <c r="F5" t="s">
        <v>13</v>
      </c>
      <c r="G5">
        <f>MAX(C23:C29)</f>
        <v>6.7213302850723267</v>
      </c>
      <c r="H5">
        <f>MIN(C23:C29)</f>
        <v>6.0447883605957031</v>
      </c>
      <c r="I5" s="7">
        <f t="shared" si="0"/>
        <v>0.67654192447662354</v>
      </c>
      <c r="J5">
        <f t="shared" si="1"/>
        <v>7</v>
      </c>
      <c r="K5">
        <v>4</v>
      </c>
      <c r="L5">
        <v>3</v>
      </c>
      <c r="M5">
        <v>0</v>
      </c>
    </row>
    <row r="6" spans="1:14" x14ac:dyDescent="0.35">
      <c r="A6" t="s">
        <v>7</v>
      </c>
      <c r="B6" t="s">
        <v>19</v>
      </c>
      <c r="C6">
        <v>5.1355272531509399</v>
      </c>
      <c r="F6" t="s">
        <v>1</v>
      </c>
      <c r="G6">
        <f>MAX(C30:C36)</f>
        <v>6.7122530937194824</v>
      </c>
      <c r="H6">
        <f>MIN(C30:C36)</f>
        <v>5.0062280893325806</v>
      </c>
      <c r="I6" s="6">
        <f t="shared" si="0"/>
        <v>1.7060250043869019</v>
      </c>
      <c r="J6">
        <f t="shared" si="1"/>
        <v>8</v>
      </c>
      <c r="K6">
        <v>7</v>
      </c>
      <c r="L6">
        <v>1</v>
      </c>
      <c r="M6">
        <v>0</v>
      </c>
    </row>
    <row r="7" spans="1:14" x14ac:dyDescent="0.35">
      <c r="A7" t="s">
        <v>7</v>
      </c>
      <c r="B7" t="s">
        <v>20</v>
      </c>
      <c r="C7">
        <v>4.6187716722488403</v>
      </c>
      <c r="F7" t="s">
        <v>2</v>
      </c>
      <c r="G7">
        <f>MAX(C37:C43)</f>
        <v>8.5353267192840576</v>
      </c>
      <c r="H7">
        <f>MIN(C37:C43)</f>
        <v>8.3770942687988281</v>
      </c>
      <c r="I7" s="7">
        <f t="shared" si="0"/>
        <v>0.15823245048522949</v>
      </c>
      <c r="J7">
        <f t="shared" si="1"/>
        <v>0</v>
      </c>
      <c r="K7">
        <v>0</v>
      </c>
      <c r="L7">
        <v>0</v>
      </c>
      <c r="M7">
        <v>0</v>
      </c>
    </row>
    <row r="8" spans="1:14" x14ac:dyDescent="0.35">
      <c r="A8" t="s">
        <v>7</v>
      </c>
      <c r="B8" t="s">
        <v>21</v>
      </c>
      <c r="C8">
        <v>4.9425023794174194</v>
      </c>
      <c r="F8" t="s">
        <v>3</v>
      </c>
      <c r="G8">
        <f>MAX(C44:C50)</f>
        <v>8.6455047130584717</v>
      </c>
      <c r="H8">
        <f>MIN(C44:C50)</f>
        <v>8.6086666584014893</v>
      </c>
      <c r="I8" s="7">
        <f t="shared" si="0"/>
        <v>3.6838054656982422E-2</v>
      </c>
      <c r="J8">
        <f t="shared" si="1"/>
        <v>0</v>
      </c>
      <c r="K8">
        <v>0</v>
      </c>
      <c r="L8">
        <v>0</v>
      </c>
      <c r="M8">
        <v>0</v>
      </c>
    </row>
    <row r="9" spans="1:14" x14ac:dyDescent="0.35">
      <c r="A9" t="s">
        <v>12</v>
      </c>
      <c r="B9" t="s">
        <v>15</v>
      </c>
      <c r="C9">
        <v>6.6070717573165894</v>
      </c>
      <c r="F9" t="s">
        <v>4</v>
      </c>
      <c r="G9">
        <f>MAX(C51:C57)</f>
        <v>9.2486613988876343</v>
      </c>
      <c r="H9">
        <f>MIN(C51:C57)</f>
        <v>8.3265292644500732</v>
      </c>
      <c r="I9" s="7">
        <f t="shared" si="0"/>
        <v>0.92213213443756104</v>
      </c>
      <c r="J9">
        <f t="shared" si="1"/>
        <v>1</v>
      </c>
      <c r="K9">
        <v>0</v>
      </c>
      <c r="L9">
        <v>1</v>
      </c>
      <c r="M9">
        <v>0</v>
      </c>
    </row>
    <row r="10" spans="1:14" x14ac:dyDescent="0.35">
      <c r="A10" t="s">
        <v>12</v>
      </c>
      <c r="B10" t="s">
        <v>16</v>
      </c>
      <c r="C10">
        <v>6.462823748588562</v>
      </c>
      <c r="F10" t="s">
        <v>5</v>
      </c>
      <c r="G10">
        <f>MAX(C58:C64)</f>
        <v>9.2041176557540894</v>
      </c>
      <c r="H10">
        <f>MIN(C58:C64)</f>
        <v>8.348497748374939</v>
      </c>
      <c r="I10" s="7">
        <f t="shared" si="0"/>
        <v>0.85561990737915039</v>
      </c>
      <c r="J10">
        <f t="shared" si="1"/>
        <v>1</v>
      </c>
      <c r="K10">
        <v>0</v>
      </c>
      <c r="L10">
        <v>1</v>
      </c>
      <c r="M10">
        <v>0</v>
      </c>
    </row>
    <row r="11" spans="1:14" x14ac:dyDescent="0.35">
      <c r="A11" t="s">
        <v>12</v>
      </c>
      <c r="B11" t="s">
        <v>17</v>
      </c>
      <c r="C11">
        <v>6.3876050710678101</v>
      </c>
      <c r="F11" t="s">
        <v>8</v>
      </c>
      <c r="G11">
        <f>MAX(C65:C71)</f>
        <v>5.3045493364334106</v>
      </c>
      <c r="H11">
        <f>MIN(C65:C71)</f>
        <v>3.5684084892272949</v>
      </c>
      <c r="I11" s="6">
        <f t="shared" si="0"/>
        <v>1.7361408472061157</v>
      </c>
      <c r="J11">
        <f>SUM(K11:M11)</f>
        <v>11</v>
      </c>
      <c r="K11">
        <v>6</v>
      </c>
      <c r="L11">
        <v>5</v>
      </c>
      <c r="M11">
        <v>0</v>
      </c>
    </row>
    <row r="12" spans="1:14" x14ac:dyDescent="0.35">
      <c r="A12" t="s">
        <v>12</v>
      </c>
      <c r="B12" t="s">
        <v>18</v>
      </c>
      <c r="C12">
        <v>6.9675880670547485</v>
      </c>
      <c r="F12" t="s">
        <v>9</v>
      </c>
      <c r="G12">
        <f>MAX(C72:C78)</f>
        <v>7.0244520902633667</v>
      </c>
      <c r="H12">
        <f>MIN(C72:C78)</f>
        <v>6.8001002073287964</v>
      </c>
      <c r="I12" s="7">
        <f t="shared" si="0"/>
        <v>0.22435188293457031</v>
      </c>
      <c r="J12">
        <f t="shared" si="1"/>
        <v>2</v>
      </c>
      <c r="K12">
        <v>0</v>
      </c>
      <c r="L12">
        <v>2</v>
      </c>
      <c r="M12">
        <v>0</v>
      </c>
    </row>
    <row r="13" spans="1:14" x14ac:dyDescent="0.35">
      <c r="A13" t="s">
        <v>12</v>
      </c>
      <c r="B13" t="s">
        <v>19</v>
      </c>
      <c r="C13">
        <v>6.634102463722229</v>
      </c>
      <c r="F13" t="s">
        <v>10</v>
      </c>
      <c r="G13">
        <f>MAX(C79:C85)</f>
        <v>5.0651013851165771</v>
      </c>
      <c r="H13">
        <f>MIN(C79:C85)</f>
        <v>1.9235235452651978</v>
      </c>
      <c r="I13" s="6">
        <f t="shared" si="0"/>
        <v>3.1415778398513794</v>
      </c>
      <c r="J13">
        <f t="shared" si="1"/>
        <v>17</v>
      </c>
      <c r="K13">
        <v>7</v>
      </c>
      <c r="L13">
        <v>3</v>
      </c>
      <c r="M13">
        <v>7</v>
      </c>
    </row>
    <row r="14" spans="1:14" x14ac:dyDescent="0.35">
      <c r="A14" t="s">
        <v>12</v>
      </c>
      <c r="B14" t="s">
        <v>20</v>
      </c>
      <c r="C14">
        <v>6.4761883020401001</v>
      </c>
      <c r="F14" t="s">
        <v>11</v>
      </c>
      <c r="G14">
        <f>MAX(C86:C92)</f>
        <v>6.7209434509277344</v>
      </c>
      <c r="H14">
        <f>MIN(C86:C92)</f>
        <v>6.6338890790939331</v>
      </c>
      <c r="I14" s="7">
        <f t="shared" si="0"/>
        <v>8.705437183380127E-2</v>
      </c>
      <c r="J14">
        <f t="shared" si="1"/>
        <v>2</v>
      </c>
      <c r="K14">
        <v>0</v>
      </c>
      <c r="L14">
        <v>2</v>
      </c>
      <c r="M14">
        <v>0</v>
      </c>
    </row>
    <row r="15" spans="1:14" x14ac:dyDescent="0.35">
      <c r="A15" t="s">
        <v>12</v>
      </c>
      <c r="B15" t="s">
        <v>21</v>
      </c>
      <c r="C15">
        <v>6.3683974742889404</v>
      </c>
      <c r="J15">
        <f>SUM(J2:J14)</f>
        <v>65</v>
      </c>
      <c r="K15">
        <f>SUM(K2:K14)</f>
        <v>33</v>
      </c>
      <c r="L15">
        <f>SUM(L2:L14)</f>
        <v>25</v>
      </c>
      <c r="M15">
        <f>SUM(M2:M14)</f>
        <v>7</v>
      </c>
      <c r="N15">
        <f>SUM(K15:M15)</f>
        <v>65</v>
      </c>
    </row>
    <row r="16" spans="1:14" x14ac:dyDescent="0.35">
      <c r="A16" t="s">
        <v>6</v>
      </c>
      <c r="B16" t="s">
        <v>15</v>
      </c>
      <c r="C16">
        <v>8.5288834571838379</v>
      </c>
    </row>
    <row r="17" spans="1:13" x14ac:dyDescent="0.35">
      <c r="A17" t="s">
        <v>6</v>
      </c>
      <c r="B17" t="s">
        <v>16</v>
      </c>
      <c r="C17">
        <v>7.6909399032592773</v>
      </c>
    </row>
    <row r="18" spans="1:13" x14ac:dyDescent="0.35">
      <c r="A18" t="s">
        <v>6</v>
      </c>
      <c r="B18" t="s">
        <v>17</v>
      </c>
      <c r="C18">
        <v>8.8456118106842041</v>
      </c>
      <c r="H18" t="s">
        <v>30</v>
      </c>
      <c r="I18">
        <f>AVERAGE(I2:I14)</f>
        <v>0.98268389701843262</v>
      </c>
    </row>
    <row r="19" spans="1:13" x14ac:dyDescent="0.35">
      <c r="A19" t="s">
        <v>6</v>
      </c>
      <c r="B19" t="s">
        <v>18</v>
      </c>
      <c r="C19">
        <v>8.8684284687042236</v>
      </c>
      <c r="H19" t="s">
        <v>31</v>
      </c>
      <c r="I19">
        <f>MEDIAN(I2:I14)</f>
        <v>0.85561990737915039</v>
      </c>
    </row>
    <row r="20" spans="1:13" x14ac:dyDescent="0.35">
      <c r="A20" t="s">
        <v>6</v>
      </c>
      <c r="B20" t="s">
        <v>19</v>
      </c>
      <c r="C20">
        <v>8.8456118106842041</v>
      </c>
    </row>
    <row r="21" spans="1:13" x14ac:dyDescent="0.35">
      <c r="A21" t="s">
        <v>6</v>
      </c>
      <c r="B21" t="s">
        <v>20</v>
      </c>
      <c r="C21">
        <v>8.0609136819839478</v>
      </c>
    </row>
    <row r="22" spans="1:13" x14ac:dyDescent="0.35">
      <c r="A22" t="s">
        <v>6</v>
      </c>
      <c r="B22" t="s">
        <v>21</v>
      </c>
      <c r="C22">
        <v>8.1618618965148926</v>
      </c>
      <c r="H22" s="9" t="s">
        <v>32</v>
      </c>
      <c r="I22" s="9"/>
      <c r="J22" s="9"/>
      <c r="K22">
        <f>CORREL(I2:I14,J2:J14)</f>
        <v>0.88844895542524449</v>
      </c>
    </row>
    <row r="23" spans="1:13" x14ac:dyDescent="0.35">
      <c r="A23" t="s">
        <v>13</v>
      </c>
      <c r="B23" t="s">
        <v>15</v>
      </c>
      <c r="C23">
        <v>6.7213302850723267</v>
      </c>
      <c r="H23" s="9" t="s">
        <v>33</v>
      </c>
      <c r="I23" s="9"/>
      <c r="J23" s="9"/>
      <c r="K23">
        <f>CORREL(H2:H14,J2:J14)</f>
        <v>-0.86033655645084317</v>
      </c>
    </row>
    <row r="24" spans="1:13" x14ac:dyDescent="0.35">
      <c r="A24" t="s">
        <v>13</v>
      </c>
      <c r="B24" t="s">
        <v>16</v>
      </c>
      <c r="C24">
        <v>6.0447883605957031</v>
      </c>
      <c r="H24" s="9" t="s">
        <v>34</v>
      </c>
      <c r="I24" s="9"/>
      <c r="J24" s="9"/>
      <c r="K24">
        <f>CORREL(G2:G14,J2:J14)</f>
        <v>-0.69641758694663436</v>
      </c>
    </row>
    <row r="25" spans="1:13" x14ac:dyDescent="0.35">
      <c r="A25" t="s">
        <v>13</v>
      </c>
      <c r="B25" t="s">
        <v>17</v>
      </c>
      <c r="C25">
        <v>6.1026912927627563</v>
      </c>
    </row>
    <row r="26" spans="1:13" x14ac:dyDescent="0.35">
      <c r="A26" t="s">
        <v>13</v>
      </c>
      <c r="B26" t="s">
        <v>18</v>
      </c>
      <c r="C26">
        <v>6.1612457036972046</v>
      </c>
    </row>
    <row r="27" spans="1:13" x14ac:dyDescent="0.35">
      <c r="A27" t="s">
        <v>13</v>
      </c>
      <c r="B27" t="s">
        <v>19</v>
      </c>
      <c r="C27">
        <v>6.6832846403121948</v>
      </c>
    </row>
    <row r="28" spans="1:13" x14ac:dyDescent="0.35">
      <c r="A28" t="s">
        <v>13</v>
      </c>
      <c r="B28" t="s">
        <v>20</v>
      </c>
      <c r="C28">
        <v>6.2980997562408447</v>
      </c>
      <c r="I28" s="4" t="s">
        <v>35</v>
      </c>
      <c r="J28" s="8" t="s">
        <v>36</v>
      </c>
      <c r="K28" s="3" t="s">
        <v>42</v>
      </c>
    </row>
    <row r="29" spans="1:13" x14ac:dyDescent="0.35">
      <c r="A29" t="s">
        <v>13</v>
      </c>
      <c r="B29" t="s">
        <v>21</v>
      </c>
      <c r="C29">
        <v>6.5081894397735596</v>
      </c>
      <c r="H29" t="s">
        <v>7</v>
      </c>
      <c r="I29">
        <f>_xlfn.RANK.AVG(I2,I2:I14)</f>
        <v>4</v>
      </c>
      <c r="J29">
        <f>_xlfn.RANK.AVG(J2,$J$2:$J$14)</f>
        <v>6.5</v>
      </c>
      <c r="K29">
        <f>_xlfn.RANK.AVG(H2,$H$2:$H$14)</f>
        <v>11</v>
      </c>
      <c r="L29" s="10" t="s">
        <v>37</v>
      </c>
      <c r="M29">
        <f>CORREL(I29:I41,J29:J41)</f>
        <v>0.79669954960112099</v>
      </c>
    </row>
    <row r="30" spans="1:13" x14ac:dyDescent="0.35">
      <c r="A30" t="s">
        <v>1</v>
      </c>
      <c r="B30" t="s">
        <v>15</v>
      </c>
      <c r="C30">
        <v>6.494261622428894</v>
      </c>
      <c r="H30" t="s">
        <v>12</v>
      </c>
      <c r="I30">
        <f>_xlfn.RANK.AVG(I3,I2:I14)</f>
        <v>9</v>
      </c>
      <c r="J30">
        <f t="shared" ref="J30:J41" si="2">_xlfn.RANK.AVG(J3,$J$2:$J$14)</f>
        <v>6.5</v>
      </c>
      <c r="K30">
        <f>_xlfn.RANK.AVG(H3,$H$2:$H$14)</f>
        <v>8</v>
      </c>
      <c r="L30" t="s">
        <v>38</v>
      </c>
      <c r="M30">
        <f>COUNT(J29:J41)</f>
        <v>13</v>
      </c>
    </row>
    <row r="31" spans="1:13" x14ac:dyDescent="0.35">
      <c r="A31" t="s">
        <v>1</v>
      </c>
      <c r="B31" t="s">
        <v>16</v>
      </c>
      <c r="C31">
        <v>5.0062280893325806</v>
      </c>
      <c r="H31" t="s">
        <v>6</v>
      </c>
      <c r="I31">
        <f>_xlfn.RANK.AVG(I4,I2:I14)</f>
        <v>5</v>
      </c>
      <c r="J31">
        <f t="shared" si="2"/>
        <v>3.5</v>
      </c>
      <c r="K31">
        <f>_xlfn.RANK.AVG(H4,$H$2:$H$14)</f>
        <v>5</v>
      </c>
      <c r="L31" t="s">
        <v>39</v>
      </c>
      <c r="M31">
        <f>(ABS(M29)*SQRT(M30-2))/(SQRT(1-ABS(M29)^2))</f>
        <v>4.3720388693341423</v>
      </c>
    </row>
    <row r="32" spans="1:13" x14ac:dyDescent="0.35">
      <c r="A32" t="s">
        <v>1</v>
      </c>
      <c r="B32" t="s">
        <v>17</v>
      </c>
      <c r="C32">
        <v>6.7122530937194824</v>
      </c>
      <c r="H32" t="s">
        <v>13</v>
      </c>
      <c r="I32">
        <f>_xlfn.RANK.AVG(I5,I2:I14)</f>
        <v>8</v>
      </c>
      <c r="J32">
        <f t="shared" si="2"/>
        <v>5</v>
      </c>
      <c r="K32">
        <f t="shared" ref="K30:K41" si="3">_xlfn.RANK.AVG(H5,$H$2:$H$14)</f>
        <v>9</v>
      </c>
      <c r="L32" t="s">
        <v>40</v>
      </c>
      <c r="M32">
        <f>M30-2</f>
        <v>11</v>
      </c>
    </row>
    <row r="33" spans="1:13" x14ac:dyDescent="0.35">
      <c r="A33" t="s">
        <v>1</v>
      </c>
      <c r="B33" t="s">
        <v>18</v>
      </c>
      <c r="C33">
        <v>6.5185701847076416</v>
      </c>
      <c r="H33" t="s">
        <v>1</v>
      </c>
      <c r="I33">
        <f>_xlfn.RANK.AVG(I6,I2:I14)</f>
        <v>3</v>
      </c>
      <c r="J33">
        <f t="shared" si="2"/>
        <v>3.5</v>
      </c>
      <c r="K33">
        <f t="shared" si="3"/>
        <v>10</v>
      </c>
      <c r="L33" t="s">
        <v>41</v>
      </c>
      <c r="M33">
        <f>_xlfn.T.DIST.2T(M31,M32)</f>
        <v>1.113756937113743E-3</v>
      </c>
    </row>
    <row r="34" spans="1:13" x14ac:dyDescent="0.35">
      <c r="A34" t="s">
        <v>1</v>
      </c>
      <c r="B34" t="s">
        <v>19</v>
      </c>
      <c r="C34">
        <v>6.5771442651748657</v>
      </c>
      <c r="H34" t="s">
        <v>2</v>
      </c>
      <c r="I34">
        <f>_xlfn.RANK.AVG(I7,I2:I14)</f>
        <v>11</v>
      </c>
      <c r="J34">
        <f t="shared" si="2"/>
        <v>12.5</v>
      </c>
      <c r="K34">
        <f t="shared" si="3"/>
        <v>2</v>
      </c>
    </row>
    <row r="35" spans="1:13" x14ac:dyDescent="0.35">
      <c r="A35" t="s">
        <v>1</v>
      </c>
      <c r="B35" t="s">
        <v>20</v>
      </c>
      <c r="C35">
        <v>5.5618196725845337</v>
      </c>
      <c r="H35" t="s">
        <v>3</v>
      </c>
      <c r="I35">
        <f>_xlfn.RANK.AVG(I8,I2:I14)</f>
        <v>13</v>
      </c>
      <c r="J35">
        <f t="shared" si="2"/>
        <v>12.5</v>
      </c>
      <c r="K35">
        <f t="shared" si="3"/>
        <v>1</v>
      </c>
    </row>
    <row r="36" spans="1:13" x14ac:dyDescent="0.35">
      <c r="A36" t="s">
        <v>1</v>
      </c>
      <c r="B36" t="s">
        <v>21</v>
      </c>
      <c r="C36">
        <v>5.8602452278137207</v>
      </c>
      <c r="H36" t="s">
        <v>4</v>
      </c>
      <c r="I36">
        <f>_xlfn.RANK.AVG(I9,I2:I14)</f>
        <v>6</v>
      </c>
      <c r="J36">
        <f t="shared" si="2"/>
        <v>10.5</v>
      </c>
      <c r="K36">
        <f t="shared" si="3"/>
        <v>4</v>
      </c>
    </row>
    <row r="37" spans="1:13" x14ac:dyDescent="0.35">
      <c r="A37" t="s">
        <v>2</v>
      </c>
      <c r="B37" t="s">
        <v>15</v>
      </c>
      <c r="C37">
        <v>8.5353267192840576</v>
      </c>
      <c r="H37" t="s">
        <v>5</v>
      </c>
      <c r="I37">
        <f>_xlfn.RANK.AVG(I10,I2:I14)</f>
        <v>7</v>
      </c>
      <c r="J37">
        <f t="shared" si="2"/>
        <v>10.5</v>
      </c>
      <c r="K37">
        <f t="shared" si="3"/>
        <v>3</v>
      </c>
    </row>
    <row r="38" spans="1:13" x14ac:dyDescent="0.35">
      <c r="A38" t="s">
        <v>2</v>
      </c>
      <c r="B38" t="s">
        <v>16</v>
      </c>
      <c r="C38">
        <v>8.5214155912399292</v>
      </c>
      <c r="H38" t="s">
        <v>8</v>
      </c>
      <c r="I38">
        <f>_xlfn.RANK.AVG(I11,I2:I14)</f>
        <v>2</v>
      </c>
      <c r="J38">
        <f t="shared" si="2"/>
        <v>2</v>
      </c>
      <c r="K38">
        <f t="shared" si="3"/>
        <v>12</v>
      </c>
    </row>
    <row r="39" spans="1:13" x14ac:dyDescent="0.35">
      <c r="A39" t="s">
        <v>2</v>
      </c>
      <c r="B39" t="s">
        <v>17</v>
      </c>
      <c r="C39">
        <v>8.496207594871521</v>
      </c>
      <c r="H39" t="s">
        <v>9</v>
      </c>
      <c r="I39">
        <f>_xlfn.RANK.AVG(I12,I2:I14)</f>
        <v>10</v>
      </c>
      <c r="J39">
        <f t="shared" si="2"/>
        <v>8.5</v>
      </c>
      <c r="K39">
        <f t="shared" si="3"/>
        <v>6</v>
      </c>
    </row>
    <row r="40" spans="1:13" x14ac:dyDescent="0.35">
      <c r="A40" t="s">
        <v>2</v>
      </c>
      <c r="B40" t="s">
        <v>18</v>
      </c>
      <c r="C40">
        <v>8.3770942687988281</v>
      </c>
      <c r="H40" t="s">
        <v>10</v>
      </c>
      <c r="I40">
        <f>_xlfn.RANK.AVG(I13,I2:I14)</f>
        <v>1</v>
      </c>
      <c r="J40">
        <f>_xlfn.RANK.AVG(J13,$J$2:$J$14)</f>
        <v>1</v>
      </c>
      <c r="K40">
        <f t="shared" si="3"/>
        <v>13</v>
      </c>
    </row>
    <row r="41" spans="1:13" x14ac:dyDescent="0.35">
      <c r="A41" t="s">
        <v>2</v>
      </c>
      <c r="B41" t="s">
        <v>19</v>
      </c>
      <c r="C41">
        <v>8.4966808557510376</v>
      </c>
      <c r="H41" t="s">
        <v>11</v>
      </c>
      <c r="I41">
        <f>_xlfn.RANK.AVG(I14,I2:I14)</f>
        <v>12</v>
      </c>
      <c r="J41">
        <f t="shared" si="2"/>
        <v>8.5</v>
      </c>
      <c r="K41">
        <f t="shared" si="3"/>
        <v>7</v>
      </c>
    </row>
    <row r="42" spans="1:13" x14ac:dyDescent="0.35">
      <c r="A42" t="s">
        <v>2</v>
      </c>
      <c r="B42" t="s">
        <v>20</v>
      </c>
      <c r="C42">
        <v>8.5053741931915283</v>
      </c>
    </row>
    <row r="43" spans="1:13" x14ac:dyDescent="0.35">
      <c r="A43" t="s">
        <v>2</v>
      </c>
      <c r="B43" t="s">
        <v>21</v>
      </c>
      <c r="C43">
        <v>8.5325014591217041</v>
      </c>
    </row>
    <row r="44" spans="1:13" x14ac:dyDescent="0.35">
      <c r="A44" t="s">
        <v>3</v>
      </c>
      <c r="B44" t="s">
        <v>15</v>
      </c>
      <c r="C44">
        <v>8.6141979694366455</v>
      </c>
      <c r="L44" s="10" t="s">
        <v>43</v>
      </c>
      <c r="M44">
        <f>CORREL(K29:K41,J29:J41)</f>
        <v>-0.87139013237622609</v>
      </c>
    </row>
    <row r="45" spans="1:13" x14ac:dyDescent="0.35">
      <c r="A45" t="s">
        <v>3</v>
      </c>
      <c r="B45" t="s">
        <v>16</v>
      </c>
      <c r="C45">
        <v>8.6338788270950317</v>
      </c>
    </row>
    <row r="46" spans="1:13" x14ac:dyDescent="0.35">
      <c r="A46" t="s">
        <v>3</v>
      </c>
      <c r="B46" t="s">
        <v>17</v>
      </c>
      <c r="C46">
        <v>8.609427809715271</v>
      </c>
    </row>
    <row r="47" spans="1:13" x14ac:dyDescent="0.35">
      <c r="A47" t="s">
        <v>3</v>
      </c>
      <c r="B47" t="s">
        <v>18</v>
      </c>
      <c r="C47">
        <v>8.6086666584014893</v>
      </c>
    </row>
    <row r="48" spans="1:13" x14ac:dyDescent="0.35">
      <c r="A48" t="s">
        <v>3</v>
      </c>
      <c r="B48" t="s">
        <v>19</v>
      </c>
      <c r="C48">
        <v>8.6189961433410645</v>
      </c>
    </row>
    <row r="49" spans="1:3" x14ac:dyDescent="0.35">
      <c r="A49" t="s">
        <v>3</v>
      </c>
      <c r="B49" t="s">
        <v>20</v>
      </c>
      <c r="C49">
        <v>8.6292803287506104</v>
      </c>
    </row>
    <row r="50" spans="1:3" x14ac:dyDescent="0.35">
      <c r="A50" t="s">
        <v>3</v>
      </c>
      <c r="B50" t="s">
        <v>21</v>
      </c>
      <c r="C50">
        <v>8.6455047130584717</v>
      </c>
    </row>
    <row r="51" spans="1:3" x14ac:dyDescent="0.35">
      <c r="A51" t="s">
        <v>4</v>
      </c>
      <c r="B51" t="s">
        <v>15</v>
      </c>
      <c r="C51">
        <v>8.8553321361541748</v>
      </c>
    </row>
    <row r="52" spans="1:3" x14ac:dyDescent="0.35">
      <c r="A52" t="s">
        <v>4</v>
      </c>
      <c r="B52" t="s">
        <v>16</v>
      </c>
      <c r="C52">
        <v>8.3265292644500732</v>
      </c>
    </row>
    <row r="53" spans="1:3" x14ac:dyDescent="0.35">
      <c r="A53" t="s">
        <v>4</v>
      </c>
      <c r="B53" t="s">
        <v>17</v>
      </c>
      <c r="C53">
        <v>9.2010915279388428</v>
      </c>
    </row>
    <row r="54" spans="1:3" x14ac:dyDescent="0.35">
      <c r="A54" t="s">
        <v>4</v>
      </c>
      <c r="B54" t="s">
        <v>18</v>
      </c>
      <c r="C54">
        <v>9.2486613988876343</v>
      </c>
    </row>
    <row r="55" spans="1:3" x14ac:dyDescent="0.35">
      <c r="A55" t="s">
        <v>4</v>
      </c>
      <c r="B55" t="s">
        <v>19</v>
      </c>
      <c r="C55">
        <v>9.0207785367965698</v>
      </c>
    </row>
    <row r="56" spans="1:3" x14ac:dyDescent="0.35">
      <c r="A56" t="s">
        <v>4</v>
      </c>
      <c r="B56" t="s">
        <v>20</v>
      </c>
      <c r="C56">
        <v>8.5659283399581909</v>
      </c>
    </row>
    <row r="57" spans="1:3" x14ac:dyDescent="0.35">
      <c r="A57" t="s">
        <v>4</v>
      </c>
      <c r="B57" t="s">
        <v>21</v>
      </c>
      <c r="C57">
        <v>8.6302822828292847</v>
      </c>
    </row>
    <row r="58" spans="1:3" x14ac:dyDescent="0.35">
      <c r="A58" t="s">
        <v>5</v>
      </c>
      <c r="B58" t="s">
        <v>15</v>
      </c>
      <c r="C58">
        <v>8.8655680418014526</v>
      </c>
    </row>
    <row r="59" spans="1:3" x14ac:dyDescent="0.35">
      <c r="A59" t="s">
        <v>5</v>
      </c>
      <c r="B59" t="s">
        <v>16</v>
      </c>
      <c r="C59">
        <v>8.348497748374939</v>
      </c>
    </row>
    <row r="60" spans="1:3" x14ac:dyDescent="0.35">
      <c r="A60" t="s">
        <v>5</v>
      </c>
      <c r="B60" t="s">
        <v>17</v>
      </c>
      <c r="C60">
        <v>9.1378933191299438</v>
      </c>
    </row>
    <row r="61" spans="1:3" x14ac:dyDescent="0.35">
      <c r="A61" t="s">
        <v>5</v>
      </c>
      <c r="B61" t="s">
        <v>18</v>
      </c>
      <c r="C61">
        <v>9.2041176557540894</v>
      </c>
    </row>
    <row r="62" spans="1:3" x14ac:dyDescent="0.35">
      <c r="A62" t="s">
        <v>5</v>
      </c>
      <c r="B62" t="s">
        <v>19</v>
      </c>
      <c r="C62">
        <v>8.9783728122711182</v>
      </c>
    </row>
    <row r="63" spans="1:3" x14ac:dyDescent="0.35">
      <c r="A63" t="s">
        <v>5</v>
      </c>
      <c r="B63" t="s">
        <v>20</v>
      </c>
      <c r="C63">
        <v>8.542211651802063</v>
      </c>
    </row>
    <row r="64" spans="1:3" x14ac:dyDescent="0.35">
      <c r="A64" t="s">
        <v>5</v>
      </c>
      <c r="B64" t="s">
        <v>21</v>
      </c>
      <c r="C64">
        <v>8.5989749431610107</v>
      </c>
    </row>
    <row r="65" spans="1:3" x14ac:dyDescent="0.35">
      <c r="A65" t="s">
        <v>8</v>
      </c>
      <c r="B65" t="s">
        <v>15</v>
      </c>
      <c r="C65">
        <v>4.916873574256897</v>
      </c>
    </row>
    <row r="66" spans="1:3" x14ac:dyDescent="0.35">
      <c r="A66" t="s">
        <v>8</v>
      </c>
      <c r="B66" t="s">
        <v>16</v>
      </c>
      <c r="C66">
        <v>4.9939078092575073</v>
      </c>
    </row>
    <row r="67" spans="1:3" x14ac:dyDescent="0.35">
      <c r="A67" t="s">
        <v>8</v>
      </c>
      <c r="B67" t="s">
        <v>17</v>
      </c>
      <c r="C67">
        <v>3.5684084892272949</v>
      </c>
    </row>
    <row r="68" spans="1:3" x14ac:dyDescent="0.35">
      <c r="A68" t="s">
        <v>8</v>
      </c>
      <c r="B68" t="s">
        <v>18</v>
      </c>
      <c r="C68">
        <v>5.3045493364334106</v>
      </c>
    </row>
    <row r="69" spans="1:3" x14ac:dyDescent="0.35">
      <c r="A69" t="s">
        <v>8</v>
      </c>
      <c r="B69" t="s">
        <v>19</v>
      </c>
      <c r="C69">
        <v>4.7819286584854126</v>
      </c>
    </row>
    <row r="70" spans="1:3" x14ac:dyDescent="0.35">
      <c r="A70" t="s">
        <v>8</v>
      </c>
      <c r="B70" t="s">
        <v>20</v>
      </c>
      <c r="C70">
        <v>4.906887412071228</v>
      </c>
    </row>
    <row r="71" spans="1:3" x14ac:dyDescent="0.35">
      <c r="A71" t="s">
        <v>8</v>
      </c>
      <c r="B71" t="s">
        <v>21</v>
      </c>
      <c r="C71">
        <v>4.7551953792572021</v>
      </c>
    </row>
    <row r="72" spans="1:3" x14ac:dyDescent="0.35">
      <c r="A72" t="s">
        <v>9</v>
      </c>
      <c r="B72" t="s">
        <v>15</v>
      </c>
      <c r="C72">
        <v>6.9703847169876099</v>
      </c>
    </row>
    <row r="73" spans="1:3" x14ac:dyDescent="0.35">
      <c r="A73" t="s">
        <v>9</v>
      </c>
      <c r="B73" t="s">
        <v>16</v>
      </c>
      <c r="C73">
        <v>6.8001002073287964</v>
      </c>
    </row>
    <row r="74" spans="1:3" x14ac:dyDescent="0.35">
      <c r="A74" t="s">
        <v>9</v>
      </c>
      <c r="B74" t="s">
        <v>17</v>
      </c>
      <c r="C74">
        <v>7.0204097032546997</v>
      </c>
    </row>
    <row r="75" spans="1:3" x14ac:dyDescent="0.35">
      <c r="A75" t="s">
        <v>9</v>
      </c>
      <c r="B75" t="s">
        <v>18</v>
      </c>
      <c r="C75">
        <v>7.0244520902633667</v>
      </c>
    </row>
    <row r="76" spans="1:3" x14ac:dyDescent="0.35">
      <c r="A76" t="s">
        <v>9</v>
      </c>
      <c r="B76" t="s">
        <v>19</v>
      </c>
      <c r="C76">
        <v>6.999552845954895</v>
      </c>
    </row>
    <row r="77" spans="1:3" x14ac:dyDescent="0.35">
      <c r="A77" t="s">
        <v>9</v>
      </c>
      <c r="B77" t="s">
        <v>20</v>
      </c>
      <c r="C77">
        <v>6.9017589092254639</v>
      </c>
    </row>
    <row r="78" spans="1:3" x14ac:dyDescent="0.35">
      <c r="A78" t="s">
        <v>9</v>
      </c>
      <c r="B78" t="s">
        <v>21</v>
      </c>
      <c r="C78">
        <v>6.8642431497573853</v>
      </c>
    </row>
    <row r="79" spans="1:3" x14ac:dyDescent="0.35">
      <c r="A79" t="s">
        <v>10</v>
      </c>
      <c r="B79" t="s">
        <v>15</v>
      </c>
      <c r="C79">
        <v>4.4550466537475586</v>
      </c>
    </row>
    <row r="80" spans="1:3" x14ac:dyDescent="0.35">
      <c r="A80" t="s">
        <v>10</v>
      </c>
      <c r="B80" t="s">
        <v>16</v>
      </c>
      <c r="C80">
        <v>3.4751999378204346</v>
      </c>
    </row>
    <row r="81" spans="1:3" x14ac:dyDescent="0.35">
      <c r="A81" t="s">
        <v>10</v>
      </c>
      <c r="B81" t="s">
        <v>17</v>
      </c>
      <c r="C81">
        <v>2.3338693380355835</v>
      </c>
    </row>
    <row r="82" spans="1:3" x14ac:dyDescent="0.35">
      <c r="A82" t="s">
        <v>10</v>
      </c>
      <c r="B82" t="s">
        <v>18</v>
      </c>
      <c r="C82">
        <v>1.9235235452651978</v>
      </c>
    </row>
    <row r="83" spans="1:3" x14ac:dyDescent="0.35">
      <c r="A83" t="s">
        <v>10</v>
      </c>
      <c r="B83" t="s">
        <v>19</v>
      </c>
      <c r="C83">
        <v>3.7861460447311401</v>
      </c>
    </row>
    <row r="84" spans="1:3" x14ac:dyDescent="0.35">
      <c r="A84" t="s">
        <v>10</v>
      </c>
      <c r="B84" t="s">
        <v>20</v>
      </c>
      <c r="C84">
        <v>4.8610556125640869</v>
      </c>
    </row>
    <row r="85" spans="1:3" x14ac:dyDescent="0.35">
      <c r="A85" t="s">
        <v>10</v>
      </c>
      <c r="B85" t="s">
        <v>21</v>
      </c>
      <c r="C85">
        <v>5.0651013851165771</v>
      </c>
    </row>
    <row r="86" spans="1:3" x14ac:dyDescent="0.35">
      <c r="A86" t="s">
        <v>11</v>
      </c>
      <c r="B86" t="s">
        <v>15</v>
      </c>
      <c r="C86">
        <v>6.682855486869812</v>
      </c>
    </row>
    <row r="87" spans="1:3" x14ac:dyDescent="0.35">
      <c r="A87" t="s">
        <v>11</v>
      </c>
      <c r="B87" t="s">
        <v>16</v>
      </c>
      <c r="C87">
        <v>6.6338890790939331</v>
      </c>
    </row>
    <row r="88" spans="1:3" x14ac:dyDescent="0.35">
      <c r="A88" t="s">
        <v>11</v>
      </c>
      <c r="B88" t="s">
        <v>17</v>
      </c>
      <c r="C88">
        <v>6.6792279481887817</v>
      </c>
    </row>
    <row r="89" spans="1:3" x14ac:dyDescent="0.35">
      <c r="A89" t="s">
        <v>11</v>
      </c>
      <c r="B89" t="s">
        <v>18</v>
      </c>
      <c r="C89">
        <v>6.7209434509277344</v>
      </c>
    </row>
    <row r="90" spans="1:3" x14ac:dyDescent="0.35">
      <c r="A90" t="s">
        <v>11</v>
      </c>
      <c r="B90" t="s">
        <v>19</v>
      </c>
      <c r="C90">
        <v>6.6792279481887817</v>
      </c>
    </row>
    <row r="91" spans="1:3" x14ac:dyDescent="0.35">
      <c r="A91" t="s">
        <v>11</v>
      </c>
      <c r="B91" t="s">
        <v>20</v>
      </c>
      <c r="C91">
        <v>6.6565585136413574</v>
      </c>
    </row>
    <row r="92" spans="1:3" x14ac:dyDescent="0.35">
      <c r="A92" t="s">
        <v>11</v>
      </c>
      <c r="B92" t="s">
        <v>21</v>
      </c>
      <c r="C92">
        <v>6.6565585136413574</v>
      </c>
    </row>
  </sheetData>
  <sortState xmlns:xlrd2="http://schemas.microsoft.com/office/spreadsheetml/2017/richdata2" ref="A2:E92">
    <sortCondition ref="A2:A92"/>
  </sortState>
  <mergeCells count="3">
    <mergeCell ref="H22:J22"/>
    <mergeCell ref="H23:J23"/>
    <mergeCell ref="H24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2025-10-23T19:16:12Z</dcterms:modified>
</cp:coreProperties>
</file>