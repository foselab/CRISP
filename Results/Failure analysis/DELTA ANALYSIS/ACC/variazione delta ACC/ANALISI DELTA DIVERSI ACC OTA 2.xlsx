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variazione DELTA ACC\"/>
    </mc:Choice>
  </mc:AlternateContent>
  <xr:revisionPtr revIDLastSave="0" documentId="13_ncr:1_{08A5239A-D4E2-4A8E-8C89-5837C0C0C06A}" xr6:coauthVersionLast="47" xr6:coauthVersionMax="47" xr10:uidLastSave="{00000000-0000-0000-0000-000000000000}"/>
  <bookViews>
    <workbookView xWindow="-110" yWindow="-110" windowWidth="21820" windowHeight="13900" xr2:uid="{321C8339-05C8-47CC-9167-16AB492E6FD8}"/>
  </bookViews>
  <sheets>
    <sheet name="Foglio1" sheetId="1" r:id="rId1"/>
  </sheets>
  <definedNames>
    <definedName name="_xlnm._FilterDatabase" localSheetId="0" hidden="1">Foglio1!$A$1:$A$134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6" i="1" l="1"/>
  <c r="F136" i="1"/>
  <c r="K136" i="1"/>
  <c r="J136" i="1"/>
  <c r="I136" i="1"/>
  <c r="H136" i="1"/>
  <c r="I135" i="1" a="1"/>
  <c r="I135" i="1"/>
  <c r="K135" i="1" a="1"/>
  <c r="K135" i="1" s="1"/>
  <c r="J135" i="1" a="1"/>
  <c r="J135" i="1" s="1"/>
  <c r="H135" i="1" a="1"/>
  <c r="H135" i="1" s="1"/>
  <c r="G135" i="1" a="1"/>
  <c r="G135" i="1" s="1"/>
  <c r="F135" i="1" a="1"/>
  <c r="F135" i="1" s="1"/>
  <c r="J63" i="1"/>
  <c r="J62" i="1"/>
  <c r="J61" i="1"/>
  <c r="J59" i="1"/>
  <c r="J58" i="1"/>
  <c r="J48" i="1"/>
  <c r="J6" i="1"/>
  <c r="I59" i="1"/>
  <c r="I61" i="1"/>
  <c r="I62" i="1"/>
  <c r="I63" i="1"/>
  <c r="I64" i="1"/>
  <c r="I65" i="1"/>
  <c r="I66" i="1"/>
  <c r="I67" i="1"/>
  <c r="I68" i="1"/>
  <c r="I58" i="1"/>
  <c r="I48" i="1"/>
  <c r="I33" i="1"/>
  <c r="I9" i="1"/>
  <c r="I6" i="1"/>
  <c r="H58" i="1"/>
  <c r="H59" i="1"/>
  <c r="H60" i="1"/>
  <c r="H61" i="1"/>
  <c r="H62" i="1"/>
  <c r="H63" i="1"/>
  <c r="H64" i="1"/>
  <c r="H65" i="1"/>
  <c r="H66" i="1"/>
  <c r="H67" i="1"/>
  <c r="H68" i="1"/>
  <c r="H71" i="1"/>
  <c r="H72" i="1"/>
  <c r="H80" i="1"/>
  <c r="H81" i="1"/>
  <c r="H87" i="1"/>
  <c r="H48" i="1"/>
  <c r="H27" i="1"/>
  <c r="H28" i="1"/>
  <c r="H29" i="1"/>
  <c r="H30" i="1"/>
  <c r="H31" i="1"/>
  <c r="H32" i="1"/>
  <c r="H33" i="1"/>
  <c r="H6" i="1"/>
  <c r="H9" i="1"/>
  <c r="H11" i="1"/>
  <c r="H12" i="1"/>
  <c r="G129" i="1"/>
  <c r="G130" i="1"/>
  <c r="G131" i="1"/>
  <c r="G132" i="1"/>
  <c r="G133" i="1"/>
  <c r="G134" i="1"/>
  <c r="G128" i="1"/>
  <c r="G114" i="1"/>
  <c r="G109" i="1"/>
  <c r="G110" i="1"/>
  <c r="G111" i="1"/>
  <c r="G112" i="1"/>
  <c r="G108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4" i="1"/>
  <c r="G86" i="1"/>
  <c r="G87" i="1"/>
  <c r="G90" i="1"/>
  <c r="G57" i="1"/>
  <c r="G48" i="1"/>
  <c r="G49" i="1"/>
  <c r="G27" i="1"/>
  <c r="G28" i="1"/>
  <c r="G29" i="1"/>
  <c r="G30" i="1"/>
  <c r="G31" i="1"/>
  <c r="G32" i="1"/>
  <c r="G33" i="1"/>
  <c r="G3" i="1"/>
  <c r="G4" i="1"/>
  <c r="G5" i="1"/>
  <c r="G6" i="1"/>
  <c r="G7" i="1"/>
  <c r="G8" i="1"/>
  <c r="G9" i="1"/>
  <c r="G10" i="1"/>
  <c r="G11" i="1"/>
  <c r="G1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<sst xmlns="http://schemas.openxmlformats.org/spreadsheetml/2006/main" count="281" uniqueCount="41">
  <si>
    <t xml:space="preserve">Scenario </t>
  </si>
  <si>
    <t>Vehicle</t>
  </si>
  <si>
    <t>DELTA</t>
  </si>
  <si>
    <t>FITNESS</t>
  </si>
  <si>
    <t>FAILURE</t>
  </si>
  <si>
    <t>A15_LaSpezia_Parma</t>
  </si>
  <si>
    <t>Camaro.m</t>
  </si>
  <si>
    <t>A4.m</t>
  </si>
  <si>
    <t>Malibu.m</t>
  </si>
  <si>
    <t>Polo.m</t>
  </si>
  <si>
    <t>LFACC_04_Curve_CutInOut</t>
  </si>
  <si>
    <t>Tcross</t>
  </si>
  <si>
    <t>Panda.m</t>
  </si>
  <si>
    <t>A4_Bergamo</t>
  </si>
  <si>
    <t>Colorado.m</t>
  </si>
  <si>
    <t>LFACC_02_DoubleCurve_AutoRetarget</t>
  </si>
  <si>
    <t>Pacific_Coast_Highway</t>
  </si>
  <si>
    <t>ACC_02_ISO_AutoRetargetTest</t>
  </si>
  <si>
    <t>Overseas_Hwy</t>
  </si>
  <si>
    <t>FrenataBrusca</t>
  </si>
  <si>
    <t>LFACC_01_DoubleCurve_DecelTarget</t>
  </si>
  <si>
    <t>Queen_Elizabeth_Way_Oakville</t>
  </si>
  <si>
    <t>Anaconda</t>
  </si>
  <si>
    <t>Sea_Sky_Hwy</t>
  </si>
  <si>
    <t>Trans_Canada_Hwy</t>
  </si>
  <si>
    <t>Highway_double_target</t>
  </si>
  <si>
    <t>curvaLunga</t>
  </si>
  <si>
    <t>Las_Vegas_Freeway</t>
  </si>
  <si>
    <t>A26_Autostrada_Trafori</t>
  </si>
  <si>
    <t>ACC_01_ISO_TargetDiscriminationTest</t>
  </si>
  <si>
    <t>A8_Stoccarda_Monaco</t>
  </si>
  <si>
    <t>FAILURE TECNICA DELTA&gt;1</t>
  </si>
  <si>
    <t>FAILURE TECNICA DELTA&gt;5</t>
  </si>
  <si>
    <t>FAILURE TECNICA DELTA&gt;10</t>
  </si>
  <si>
    <t>FAILURE TECNICA DELTA &gt;20</t>
  </si>
  <si>
    <t>FAILURE TECNICA DELTA &gt;30</t>
  </si>
  <si>
    <t>FAILURE TECNICA DELTA&gt;35</t>
  </si>
  <si>
    <t>percentuale fault</t>
  </si>
  <si>
    <t xml:space="preserve">delta </t>
  </si>
  <si>
    <t>PERCENTUALE FAULT TROVATI</t>
  </si>
  <si>
    <t xml:space="preserve">     &lt;----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</si>
</sst>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B03B-7B8E-4F13-8203-7EB1922DA20B}">
  <dimension ref="A1:M139"/>
  <sheetViews>
    <sheetView tabSelected="1" topLeftCell="A103" zoomScale="68" zoomScaleNormal="80" workbookViewId="0">
      <selection activeCell="G143" sqref="G143"/>
    </sheetView>
  </sheetViews>
  <sheetFormatPr defaultRowHeight="14.5" x14ac:dyDescent="0.35"/>
  <cols>
    <col min="1" max="1" width="32.54296875" bestFit="1" customWidth="1"/>
    <col min="2" max="2" width="10.26953125" bestFit="1" customWidth="1"/>
    <col min="3" max="4" width="11.81640625" bestFit="1" customWidth="1"/>
    <col min="5" max="5" width="7.6328125" bestFit="1" customWidth="1"/>
    <col min="6" max="7" width="23.08984375" bestFit="1" customWidth="1"/>
    <col min="8" max="8" width="24.08984375" bestFit="1" customWidth="1"/>
    <col min="9" max="10" width="24.453125" bestFit="1" customWidth="1"/>
    <col min="11" max="11" width="24.08984375" bestFit="1" customWidth="1"/>
  </cols>
  <sheetData>
    <row r="1" spans="1:1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35">
      <c r="A2" s="6" t="s">
        <v>5</v>
      </c>
      <c r="B2" t="s">
        <v>6</v>
      </c>
      <c r="C2">
        <v>8.7701595011028104</v>
      </c>
      <c r="D2">
        <v>0.16205155047752129</v>
      </c>
      <c r="E2" t="b">
        <v>0</v>
      </c>
      <c r="F2" s="6" t="b">
        <v>0</v>
      </c>
      <c r="G2" s="6" t="b">
        <f>IF(C2&gt;5,E2,"-")</f>
        <v>0</v>
      </c>
      <c r="H2" s="1" t="b">
        <v>0</v>
      </c>
      <c r="I2" s="1" t="b">
        <v>0</v>
      </c>
      <c r="J2" s="1" t="b">
        <v>0</v>
      </c>
      <c r="K2" s="1" t="b">
        <v>0</v>
      </c>
    </row>
    <row r="3" spans="1:11" x14ac:dyDescent="0.35">
      <c r="A3" s="6" t="s">
        <v>5</v>
      </c>
      <c r="B3" t="s">
        <v>7</v>
      </c>
      <c r="C3">
        <v>8.7701595011028104</v>
      </c>
      <c r="D3">
        <v>1.0123281619967823</v>
      </c>
      <c r="E3" t="b">
        <v>0</v>
      </c>
      <c r="F3" s="6" t="b">
        <v>0</v>
      </c>
      <c r="G3" s="6" t="b">
        <f t="shared" ref="G3:G12" si="0">IF(C3&gt;5,E3,"-")</f>
        <v>0</v>
      </c>
      <c r="H3" s="2" t="b">
        <v>0</v>
      </c>
      <c r="I3" s="2" t="b">
        <v>0</v>
      </c>
      <c r="J3" s="2" t="b">
        <v>0</v>
      </c>
      <c r="K3" s="2" t="b">
        <v>0</v>
      </c>
    </row>
    <row r="4" spans="1:11" x14ac:dyDescent="0.35">
      <c r="A4" s="6" t="s">
        <v>5</v>
      </c>
      <c r="B4" t="s">
        <v>8</v>
      </c>
      <c r="C4">
        <v>8.7701595011028104</v>
      </c>
      <c r="D4">
        <v>1.5489126819161925</v>
      </c>
      <c r="E4" t="b">
        <v>0</v>
      </c>
      <c r="F4" s="6" t="b">
        <v>0</v>
      </c>
      <c r="G4" s="6" t="b">
        <f t="shared" si="0"/>
        <v>0</v>
      </c>
      <c r="H4" s="2" t="b">
        <v>0</v>
      </c>
      <c r="I4" s="2" t="b">
        <v>0</v>
      </c>
      <c r="J4" s="2" t="b">
        <v>0</v>
      </c>
      <c r="K4" s="2" t="b">
        <v>0</v>
      </c>
    </row>
    <row r="5" spans="1:11" x14ac:dyDescent="0.35">
      <c r="A5" s="6" t="s">
        <v>5</v>
      </c>
      <c r="B5" t="s">
        <v>9</v>
      </c>
      <c r="C5">
        <v>8.7701595011028104</v>
      </c>
      <c r="D5">
        <v>2.121290899109983</v>
      </c>
      <c r="E5" t="b">
        <v>0</v>
      </c>
      <c r="F5" s="6" t="b">
        <v>0</v>
      </c>
      <c r="G5" s="6" t="b">
        <f t="shared" si="0"/>
        <v>0</v>
      </c>
      <c r="H5" s="2" t="b">
        <v>0</v>
      </c>
      <c r="I5" s="2" t="b">
        <v>0</v>
      </c>
      <c r="J5" s="2" t="b">
        <v>0</v>
      </c>
      <c r="K5" s="2" t="b">
        <v>0</v>
      </c>
    </row>
    <row r="6" spans="1:11" x14ac:dyDescent="0.35">
      <c r="A6" s="6" t="s">
        <v>10</v>
      </c>
      <c r="B6" t="s">
        <v>11</v>
      </c>
      <c r="C6">
        <v>30.488818852698717</v>
      </c>
      <c r="D6">
        <v>2.4033488390879221</v>
      </c>
      <c r="E6" t="b">
        <v>0</v>
      </c>
      <c r="F6" s="6" t="b">
        <v>0</v>
      </c>
      <c r="G6" s="6" t="b">
        <f t="shared" si="0"/>
        <v>0</v>
      </c>
      <c r="H6" s="6" t="b">
        <f t="shared" ref="H6:H12" si="1">IF(C6&gt;10,E6,"-")</f>
        <v>0</v>
      </c>
      <c r="I6" s="6" t="b">
        <f>IF(C6&gt;20,E6,"-")</f>
        <v>0</v>
      </c>
      <c r="J6" s="6" t="b">
        <f>IF(C6&gt;30,E6,"-")</f>
        <v>0</v>
      </c>
      <c r="K6" s="1" t="b">
        <v>0</v>
      </c>
    </row>
    <row r="7" spans="1:11" x14ac:dyDescent="0.35">
      <c r="A7" s="6" t="s">
        <v>5</v>
      </c>
      <c r="B7" t="s">
        <v>12</v>
      </c>
      <c r="C7">
        <v>8.7701595011028104</v>
      </c>
      <c r="D7">
        <v>3.1801175660202858</v>
      </c>
      <c r="E7" t="b">
        <v>0</v>
      </c>
      <c r="F7" s="6" t="b">
        <v>0</v>
      </c>
      <c r="G7" s="6" t="b">
        <f t="shared" si="0"/>
        <v>0</v>
      </c>
      <c r="H7" s="2" t="b">
        <v>0</v>
      </c>
      <c r="I7" s="2" t="b">
        <v>0</v>
      </c>
      <c r="J7" s="2" t="b">
        <v>0</v>
      </c>
      <c r="K7" s="2" t="b">
        <v>0</v>
      </c>
    </row>
    <row r="8" spans="1:11" x14ac:dyDescent="0.35">
      <c r="A8" s="6" t="s">
        <v>5</v>
      </c>
      <c r="B8" t="s">
        <v>11</v>
      </c>
      <c r="C8">
        <v>8.7701595011028104</v>
      </c>
      <c r="D8">
        <v>4.3428914615965386</v>
      </c>
      <c r="E8" t="b">
        <v>0</v>
      </c>
      <c r="F8" s="6" t="b">
        <v>0</v>
      </c>
      <c r="G8" s="6" t="b">
        <f t="shared" si="0"/>
        <v>0</v>
      </c>
      <c r="H8" s="2" t="b">
        <v>0</v>
      </c>
      <c r="I8" s="2" t="b">
        <v>0</v>
      </c>
      <c r="J8" s="2" t="b">
        <v>0</v>
      </c>
      <c r="K8" s="2" t="b">
        <v>0</v>
      </c>
    </row>
    <row r="9" spans="1:11" x14ac:dyDescent="0.35">
      <c r="A9" s="6" t="s">
        <v>13</v>
      </c>
      <c r="B9" t="s">
        <v>7</v>
      </c>
      <c r="C9">
        <v>28.263877553358544</v>
      </c>
      <c r="D9">
        <v>4.9667712560198929</v>
      </c>
      <c r="E9" t="b">
        <v>0</v>
      </c>
      <c r="F9" s="6" t="b">
        <v>0</v>
      </c>
      <c r="G9" s="6" t="b">
        <f t="shared" si="0"/>
        <v>0</v>
      </c>
      <c r="H9" s="6" t="b">
        <f t="shared" si="1"/>
        <v>0</v>
      </c>
      <c r="I9" s="6" t="b">
        <f>IF(C9&gt;20,E9,"-")</f>
        <v>0</v>
      </c>
      <c r="J9" s="1" t="b">
        <v>0</v>
      </c>
      <c r="K9" s="1" t="b">
        <v>0</v>
      </c>
    </row>
    <row r="10" spans="1:11" x14ac:dyDescent="0.35">
      <c r="A10" s="6" t="s">
        <v>5</v>
      </c>
      <c r="B10" t="s">
        <v>14</v>
      </c>
      <c r="C10">
        <v>8.7701595011028104</v>
      </c>
      <c r="D10">
        <v>8.9322110515803281</v>
      </c>
      <c r="E10" t="b">
        <v>1</v>
      </c>
      <c r="F10" s="6" t="b">
        <v>1</v>
      </c>
      <c r="G10" s="6" t="b">
        <f t="shared" si="0"/>
        <v>1</v>
      </c>
      <c r="H10" s="2" t="b">
        <v>0</v>
      </c>
      <c r="I10" s="2" t="b">
        <v>0</v>
      </c>
      <c r="J10" s="2" t="b">
        <v>0</v>
      </c>
      <c r="K10" s="2" t="b">
        <v>0</v>
      </c>
    </row>
    <row r="11" spans="1:11" x14ac:dyDescent="0.35">
      <c r="A11" s="6" t="s">
        <v>15</v>
      </c>
      <c r="B11" t="s">
        <v>14</v>
      </c>
      <c r="C11">
        <v>16.129653027104048</v>
      </c>
      <c r="D11">
        <v>10.439338970348871</v>
      </c>
      <c r="E11" t="b">
        <v>1</v>
      </c>
      <c r="F11" s="6" t="b">
        <v>1</v>
      </c>
      <c r="G11" s="6" t="b">
        <f t="shared" si="0"/>
        <v>1</v>
      </c>
      <c r="H11" s="6" t="b">
        <f t="shared" si="1"/>
        <v>1</v>
      </c>
      <c r="I11" s="1" t="b">
        <v>1</v>
      </c>
      <c r="J11" s="1" t="b">
        <v>1</v>
      </c>
      <c r="K11" s="1" t="b">
        <v>1</v>
      </c>
    </row>
    <row r="12" spans="1:11" x14ac:dyDescent="0.35">
      <c r="A12" s="6" t="s">
        <v>15</v>
      </c>
      <c r="B12" t="s">
        <v>9</v>
      </c>
      <c r="C12">
        <v>16.129653027104048</v>
      </c>
      <c r="D12">
        <v>10.979711882153726</v>
      </c>
      <c r="E12" t="b">
        <v>1</v>
      </c>
      <c r="F12" s="6" t="b">
        <v>1</v>
      </c>
      <c r="G12" s="6" t="b">
        <f t="shared" si="0"/>
        <v>1</v>
      </c>
      <c r="H12" s="6" t="b">
        <f t="shared" si="1"/>
        <v>1</v>
      </c>
      <c r="I12" s="2" t="b">
        <v>1</v>
      </c>
      <c r="J12" s="2" t="b">
        <v>1</v>
      </c>
      <c r="K12" s="2" t="b">
        <v>1</v>
      </c>
    </row>
    <row r="13" spans="1:11" x14ac:dyDescent="0.35">
      <c r="A13" s="7" t="s">
        <v>16</v>
      </c>
      <c r="B13" t="s">
        <v>14</v>
      </c>
      <c r="C13">
        <v>0.94599979362722308</v>
      </c>
      <c r="D13">
        <v>13.941492071541887</v>
      </c>
      <c r="E13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</row>
    <row r="14" spans="1:11" x14ac:dyDescent="0.35">
      <c r="A14" t="s">
        <v>16</v>
      </c>
      <c r="B14" t="s">
        <v>8</v>
      </c>
      <c r="C14">
        <v>0.94599979362722308</v>
      </c>
      <c r="D14">
        <v>14.266772234671855</v>
      </c>
      <c r="E14" t="b">
        <v>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</row>
    <row r="15" spans="1:11" x14ac:dyDescent="0.35">
      <c r="A15" t="s">
        <v>16</v>
      </c>
      <c r="B15" t="s">
        <v>11</v>
      </c>
      <c r="C15">
        <v>0.94599979362722308</v>
      </c>
      <c r="D15">
        <v>14.338844011281868</v>
      </c>
      <c r="E15" t="b">
        <v>0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</row>
    <row r="16" spans="1:11" x14ac:dyDescent="0.35">
      <c r="A16" t="s">
        <v>16</v>
      </c>
      <c r="B16" t="s">
        <v>9</v>
      </c>
      <c r="C16">
        <v>0.94599979362722308</v>
      </c>
      <c r="D16">
        <v>14.425443573825191</v>
      </c>
      <c r="E16" t="b">
        <v>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</row>
    <row r="17" spans="1:11" x14ac:dyDescent="0.35">
      <c r="A17" t="s">
        <v>16</v>
      </c>
      <c r="B17" t="s">
        <v>12</v>
      </c>
      <c r="C17">
        <v>0.94599979362722308</v>
      </c>
      <c r="D17">
        <v>14.564572299283942</v>
      </c>
      <c r="E17" t="b">
        <v>0</v>
      </c>
      <c r="F17" s="2" t="b">
        <v>0</v>
      </c>
      <c r="G17" s="2" t="b">
        <v>0</v>
      </c>
      <c r="H17" s="2" t="b">
        <v>0</v>
      </c>
      <c r="I17" s="2" t="b">
        <v>0</v>
      </c>
      <c r="J17" s="2" t="b">
        <v>0</v>
      </c>
      <c r="K17" s="2" t="b">
        <v>0</v>
      </c>
    </row>
    <row r="18" spans="1:11" x14ac:dyDescent="0.35">
      <c r="A18" t="s">
        <v>16</v>
      </c>
      <c r="B18" t="s">
        <v>6</v>
      </c>
      <c r="C18">
        <v>0.94599979362722308</v>
      </c>
      <c r="D18">
        <v>14.629064655255725</v>
      </c>
      <c r="E18" t="b">
        <v>0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</row>
    <row r="19" spans="1:11" x14ac:dyDescent="0.35">
      <c r="A19" t="s">
        <v>16</v>
      </c>
      <c r="B19" t="s">
        <v>7</v>
      </c>
      <c r="C19">
        <v>0.94599979362722308</v>
      </c>
      <c r="D19">
        <v>14.88749186516911</v>
      </c>
      <c r="E19" t="b">
        <v>0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</row>
    <row r="20" spans="1:11" x14ac:dyDescent="0.35">
      <c r="A20" s="6" t="s">
        <v>17</v>
      </c>
      <c r="B20" t="s">
        <v>8</v>
      </c>
      <c r="C20">
        <v>1.8270256186723906</v>
      </c>
      <c r="D20">
        <v>15.451335109607399</v>
      </c>
      <c r="E20" t="b">
        <v>1</v>
      </c>
      <c r="F20" s="6" t="b">
        <v>1</v>
      </c>
      <c r="G20" s="1" t="b">
        <v>1</v>
      </c>
      <c r="H20" s="1" t="b">
        <v>1</v>
      </c>
      <c r="I20" s="1" t="b">
        <v>1</v>
      </c>
      <c r="J20" s="1" t="b">
        <v>1</v>
      </c>
      <c r="K20" s="1" t="b">
        <v>1</v>
      </c>
    </row>
    <row r="21" spans="1:11" x14ac:dyDescent="0.35">
      <c r="A21" s="6" t="s">
        <v>17</v>
      </c>
      <c r="B21" t="s">
        <v>12</v>
      </c>
      <c r="C21">
        <v>1.8270256186723906</v>
      </c>
      <c r="D21">
        <v>16.267993007157141</v>
      </c>
      <c r="E21" t="b">
        <v>1</v>
      </c>
      <c r="F21" s="6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 t="b">
        <v>1</v>
      </c>
    </row>
    <row r="22" spans="1:11" x14ac:dyDescent="0.35">
      <c r="A22" s="6" t="s">
        <v>17</v>
      </c>
      <c r="B22" t="s">
        <v>9</v>
      </c>
      <c r="C22">
        <v>1.8270256186723906</v>
      </c>
      <c r="D22">
        <v>16.835580936498847</v>
      </c>
      <c r="E22" t="b">
        <v>1</v>
      </c>
      <c r="F22" s="6" t="b">
        <v>1</v>
      </c>
      <c r="G22" s="2" t="b">
        <v>1</v>
      </c>
      <c r="H22" s="2" t="b">
        <v>1</v>
      </c>
      <c r="I22" s="2" t="b">
        <v>1</v>
      </c>
      <c r="J22" s="2" t="b">
        <v>1</v>
      </c>
      <c r="K22" s="2" t="b">
        <v>1</v>
      </c>
    </row>
    <row r="23" spans="1:11" x14ac:dyDescent="0.35">
      <c r="A23" s="6" t="s">
        <v>17</v>
      </c>
      <c r="B23" t="s">
        <v>14</v>
      </c>
      <c r="C23">
        <v>1.8270256186723906</v>
      </c>
      <c r="D23">
        <v>16.851411019931788</v>
      </c>
      <c r="E23" t="b">
        <v>1</v>
      </c>
      <c r="F23" s="6" t="b">
        <v>1</v>
      </c>
      <c r="G23" s="2" t="b">
        <v>1</v>
      </c>
      <c r="H23" s="2" t="b">
        <v>1</v>
      </c>
      <c r="I23" s="2" t="b">
        <v>1</v>
      </c>
      <c r="J23" s="2" t="b">
        <v>1</v>
      </c>
      <c r="K23" s="2" t="b">
        <v>1</v>
      </c>
    </row>
    <row r="24" spans="1:11" x14ac:dyDescent="0.35">
      <c r="A24" s="6" t="s">
        <v>17</v>
      </c>
      <c r="B24" t="s">
        <v>11</v>
      </c>
      <c r="C24">
        <v>1.8270256186723906</v>
      </c>
      <c r="D24">
        <v>16.870495922603986</v>
      </c>
      <c r="E24" t="b">
        <v>1</v>
      </c>
      <c r="F24" s="6" t="b">
        <v>1</v>
      </c>
      <c r="G24" s="2" t="b">
        <v>1</v>
      </c>
      <c r="H24" s="2" t="b">
        <v>1</v>
      </c>
      <c r="I24" s="2" t="b">
        <v>1</v>
      </c>
      <c r="J24" s="2" t="b">
        <v>1</v>
      </c>
      <c r="K24" s="2" t="b">
        <v>1</v>
      </c>
    </row>
    <row r="25" spans="1:11" x14ac:dyDescent="0.35">
      <c r="A25" s="6" t="s">
        <v>17</v>
      </c>
      <c r="B25" t="s">
        <v>7</v>
      </c>
      <c r="C25">
        <v>1.8270256186723906</v>
      </c>
      <c r="D25">
        <v>16.910167729826547</v>
      </c>
      <c r="E25" t="b">
        <v>1</v>
      </c>
      <c r="F25" s="6" t="b">
        <v>1</v>
      </c>
      <c r="G25" s="2" t="b">
        <v>1</v>
      </c>
      <c r="H25" s="2" t="b">
        <v>1</v>
      </c>
      <c r="I25" s="2" t="b">
        <v>1</v>
      </c>
      <c r="J25" s="2" t="b">
        <v>1</v>
      </c>
      <c r="K25" s="2" t="b">
        <v>1</v>
      </c>
    </row>
    <row r="26" spans="1:11" x14ac:dyDescent="0.35">
      <c r="A26" s="6" t="s">
        <v>17</v>
      </c>
      <c r="B26" t="s">
        <v>6</v>
      </c>
      <c r="C26">
        <v>1.8270256186723906</v>
      </c>
      <c r="D26">
        <v>17.27836072827979</v>
      </c>
      <c r="E26" t="b">
        <v>1</v>
      </c>
      <c r="F26" s="6" t="b">
        <v>1</v>
      </c>
      <c r="G26" s="2" t="b">
        <v>1</v>
      </c>
      <c r="H26" s="2" t="b">
        <v>1</v>
      </c>
      <c r="I26" s="2" t="b">
        <v>1</v>
      </c>
      <c r="J26" s="2" t="b">
        <v>1</v>
      </c>
      <c r="K26" s="2" t="b">
        <v>1</v>
      </c>
    </row>
    <row r="27" spans="1:11" x14ac:dyDescent="0.35">
      <c r="A27" s="6" t="s">
        <v>15</v>
      </c>
      <c r="B27" t="s">
        <v>8</v>
      </c>
      <c r="C27">
        <v>16.129653027104048</v>
      </c>
      <c r="D27">
        <v>22.017838928658158</v>
      </c>
      <c r="E27" t="b">
        <v>1</v>
      </c>
      <c r="F27" s="6" t="b">
        <v>1</v>
      </c>
      <c r="G27" s="6" t="b">
        <f t="shared" ref="G27:G33" si="2">IF(C27&gt;5,E27,"-")</f>
        <v>1</v>
      </c>
      <c r="H27" s="6" t="b">
        <f t="shared" ref="H27:H33" si="3">IF(C27&gt;10,E27,"-")</f>
        <v>1</v>
      </c>
      <c r="I27" s="2" t="b">
        <v>1</v>
      </c>
      <c r="J27" s="2" t="b">
        <v>1</v>
      </c>
      <c r="K27" s="2" t="b">
        <v>1</v>
      </c>
    </row>
    <row r="28" spans="1:11" x14ac:dyDescent="0.35">
      <c r="A28" s="6" t="s">
        <v>15</v>
      </c>
      <c r="B28" t="s">
        <v>6</v>
      </c>
      <c r="C28">
        <v>16.129653027104048</v>
      </c>
      <c r="D28">
        <v>22.168889762644177</v>
      </c>
      <c r="E28" t="b">
        <v>1</v>
      </c>
      <c r="F28" s="6" t="b">
        <v>1</v>
      </c>
      <c r="G28" s="6" t="b">
        <f t="shared" si="2"/>
        <v>1</v>
      </c>
      <c r="H28" s="6" t="b">
        <f t="shared" si="3"/>
        <v>1</v>
      </c>
      <c r="I28" s="2" t="b">
        <v>1</v>
      </c>
      <c r="J28" s="2" t="b">
        <v>1</v>
      </c>
      <c r="K28" s="2" t="b">
        <v>1</v>
      </c>
    </row>
    <row r="29" spans="1:11" x14ac:dyDescent="0.35">
      <c r="A29" s="6" t="s">
        <v>18</v>
      </c>
      <c r="B29" t="s">
        <v>6</v>
      </c>
      <c r="C29">
        <v>15.4198124313588</v>
      </c>
      <c r="D29">
        <v>23.872311184257043</v>
      </c>
      <c r="E29" t="b">
        <v>0</v>
      </c>
      <c r="F29" s="6" t="b">
        <v>0</v>
      </c>
      <c r="G29" s="6" t="b">
        <f t="shared" si="2"/>
        <v>0</v>
      </c>
      <c r="H29" s="6" t="b">
        <f t="shared" si="3"/>
        <v>0</v>
      </c>
      <c r="I29" s="1" t="b">
        <v>0</v>
      </c>
      <c r="J29" s="1" t="b">
        <v>0</v>
      </c>
      <c r="K29" s="1" t="b">
        <v>0</v>
      </c>
    </row>
    <row r="30" spans="1:11" x14ac:dyDescent="0.35">
      <c r="A30" s="6" t="s">
        <v>15</v>
      </c>
      <c r="B30" t="s">
        <v>7</v>
      </c>
      <c r="C30">
        <v>16.129653027104048</v>
      </c>
      <c r="D30">
        <v>25.543714011477746</v>
      </c>
      <c r="E30" t="b">
        <v>1</v>
      </c>
      <c r="F30" s="6" t="b">
        <v>1</v>
      </c>
      <c r="G30" s="6" t="b">
        <f t="shared" si="2"/>
        <v>1</v>
      </c>
      <c r="H30" s="6" t="b">
        <f t="shared" si="3"/>
        <v>1</v>
      </c>
      <c r="I30" s="2" t="b">
        <v>1</v>
      </c>
      <c r="J30" s="2" t="b">
        <v>1</v>
      </c>
      <c r="K30" s="2" t="b">
        <v>1</v>
      </c>
    </row>
    <row r="31" spans="1:11" x14ac:dyDescent="0.35">
      <c r="A31" s="6" t="s">
        <v>15</v>
      </c>
      <c r="B31" t="s">
        <v>11</v>
      </c>
      <c r="C31">
        <v>16.129653027104048</v>
      </c>
      <c r="D31">
        <v>25.634803154595978</v>
      </c>
      <c r="E31" t="b">
        <v>1</v>
      </c>
      <c r="F31" s="6" t="b">
        <v>1</v>
      </c>
      <c r="G31" s="6" t="b">
        <f t="shared" si="2"/>
        <v>1</v>
      </c>
      <c r="H31" s="6" t="b">
        <f t="shared" si="3"/>
        <v>1</v>
      </c>
      <c r="I31" s="2" t="b">
        <v>1</v>
      </c>
      <c r="J31" s="2" t="b">
        <v>1</v>
      </c>
      <c r="K31" s="2" t="b">
        <v>1</v>
      </c>
    </row>
    <row r="32" spans="1:11" x14ac:dyDescent="0.35">
      <c r="A32" s="6" t="s">
        <v>15</v>
      </c>
      <c r="B32" t="s">
        <v>12</v>
      </c>
      <c r="C32">
        <v>16.129653027104048</v>
      </c>
      <c r="D32">
        <v>26.568991997452919</v>
      </c>
      <c r="E32" t="b">
        <v>1</v>
      </c>
      <c r="F32" s="6" t="b">
        <v>1</v>
      </c>
      <c r="G32" s="6" t="b">
        <f t="shared" si="2"/>
        <v>1</v>
      </c>
      <c r="H32" s="6" t="b">
        <f t="shared" si="3"/>
        <v>1</v>
      </c>
      <c r="I32" s="2" t="b">
        <v>1</v>
      </c>
      <c r="J32" s="2" t="b">
        <v>1</v>
      </c>
      <c r="K32" s="2" t="b">
        <v>1</v>
      </c>
    </row>
    <row r="33" spans="1:11" x14ac:dyDescent="0.35">
      <c r="A33" s="6" t="s">
        <v>13</v>
      </c>
      <c r="B33" t="s">
        <v>6</v>
      </c>
      <c r="C33">
        <v>28.263877553358544</v>
      </c>
      <c r="D33">
        <v>27.398325126422456</v>
      </c>
      <c r="E33" t="b">
        <v>0</v>
      </c>
      <c r="F33" s="6" t="b">
        <v>0</v>
      </c>
      <c r="G33" s="6" t="b">
        <f t="shared" si="2"/>
        <v>0</v>
      </c>
      <c r="H33" s="6" t="b">
        <f t="shared" si="3"/>
        <v>0</v>
      </c>
      <c r="I33" s="6" t="b">
        <f>IF(C33&gt;20,E33,"-")</f>
        <v>0</v>
      </c>
      <c r="J33" s="2" t="b">
        <v>0</v>
      </c>
      <c r="K33" s="2" t="b">
        <v>0</v>
      </c>
    </row>
    <row r="34" spans="1:11" x14ac:dyDescent="0.35">
      <c r="A34" s="7" t="s">
        <v>19</v>
      </c>
      <c r="B34" t="s">
        <v>8</v>
      </c>
      <c r="C34">
        <v>0.61232699178358274</v>
      </c>
      <c r="D34">
        <v>28.564850035905799</v>
      </c>
      <c r="E34" t="b">
        <v>1</v>
      </c>
      <c r="F34" s="1" t="b">
        <v>1</v>
      </c>
      <c r="G34" s="1" t="b">
        <v>1</v>
      </c>
      <c r="H34" s="1" t="b">
        <v>1</v>
      </c>
      <c r="I34" s="1" t="b">
        <v>1</v>
      </c>
      <c r="J34" s="1" t="b">
        <v>1</v>
      </c>
      <c r="K34" s="1" t="b">
        <v>1</v>
      </c>
    </row>
    <row r="35" spans="1:11" x14ac:dyDescent="0.35">
      <c r="A35" t="s">
        <v>19</v>
      </c>
      <c r="B35" t="s">
        <v>12</v>
      </c>
      <c r="C35">
        <v>0.61232699178358274</v>
      </c>
      <c r="D35">
        <v>28.710406021508177</v>
      </c>
      <c r="E35" t="b">
        <v>1</v>
      </c>
      <c r="F35" s="2" t="b">
        <v>1</v>
      </c>
      <c r="G35" s="2" t="b">
        <v>1</v>
      </c>
      <c r="H35" s="2" t="b">
        <v>1</v>
      </c>
      <c r="I35" s="2" t="b">
        <v>1</v>
      </c>
      <c r="J35" s="2" t="b">
        <v>1</v>
      </c>
      <c r="K35" s="2" t="b">
        <v>1</v>
      </c>
    </row>
    <row r="36" spans="1:11" x14ac:dyDescent="0.35">
      <c r="A36" t="s">
        <v>19</v>
      </c>
      <c r="B36" t="s">
        <v>11</v>
      </c>
      <c r="C36">
        <v>0.61232699178358274</v>
      </c>
      <c r="D36">
        <v>28.979670133966934</v>
      </c>
      <c r="E36" t="b">
        <v>1</v>
      </c>
      <c r="F36" s="2" t="b">
        <v>1</v>
      </c>
      <c r="G36" s="2" t="b">
        <v>1</v>
      </c>
      <c r="H36" s="2" t="b">
        <v>1</v>
      </c>
      <c r="I36" s="2" t="b">
        <v>1</v>
      </c>
      <c r="J36" s="2" t="b">
        <v>1</v>
      </c>
      <c r="K36" s="2" t="b">
        <v>1</v>
      </c>
    </row>
    <row r="37" spans="1:11" x14ac:dyDescent="0.35">
      <c r="A37" t="s">
        <v>19</v>
      </c>
      <c r="B37" t="s">
        <v>9</v>
      </c>
      <c r="C37">
        <v>0.61232699178358274</v>
      </c>
      <c r="D37">
        <v>28.988965688207465</v>
      </c>
      <c r="E37" t="b">
        <v>1</v>
      </c>
      <c r="F37" s="2" t="b">
        <v>1</v>
      </c>
      <c r="G37" s="2" t="b">
        <v>1</v>
      </c>
      <c r="H37" s="2" t="b">
        <v>1</v>
      </c>
      <c r="I37" s="2" t="b">
        <v>1</v>
      </c>
      <c r="J37" s="2" t="b">
        <v>1</v>
      </c>
      <c r="K37" s="2" t="b">
        <v>1</v>
      </c>
    </row>
    <row r="38" spans="1:11" x14ac:dyDescent="0.35">
      <c r="A38" t="s">
        <v>19</v>
      </c>
      <c r="B38" t="s">
        <v>6</v>
      </c>
      <c r="C38">
        <v>0.61232699178358274</v>
      </c>
      <c r="D38">
        <v>29.026721012848071</v>
      </c>
      <c r="E38" t="b">
        <v>1</v>
      </c>
      <c r="F38" s="2" t="b">
        <v>1</v>
      </c>
      <c r="G38" s="2" t="b">
        <v>1</v>
      </c>
      <c r="H38" s="2" t="b">
        <v>1</v>
      </c>
      <c r="I38" s="2" t="b">
        <v>1</v>
      </c>
      <c r="J38" s="2" t="b">
        <v>1</v>
      </c>
      <c r="K38" s="2" t="b">
        <v>1</v>
      </c>
    </row>
    <row r="39" spans="1:11" x14ac:dyDescent="0.35">
      <c r="A39" t="s">
        <v>19</v>
      </c>
      <c r="B39" t="s">
        <v>7</v>
      </c>
      <c r="C39">
        <v>0.61232699178358274</v>
      </c>
      <c r="D39">
        <v>29.033979510562602</v>
      </c>
      <c r="E39" t="b">
        <v>1</v>
      </c>
      <c r="F39" s="2" t="b">
        <v>1</v>
      </c>
      <c r="G39" s="2" t="b">
        <v>1</v>
      </c>
      <c r="H39" s="2" t="b">
        <v>1</v>
      </c>
      <c r="I39" s="2" t="b">
        <v>1</v>
      </c>
      <c r="J39" s="2" t="b">
        <v>1</v>
      </c>
      <c r="K39" s="2" t="b">
        <v>1</v>
      </c>
    </row>
    <row r="40" spans="1:11" x14ac:dyDescent="0.35">
      <c r="A40" t="s">
        <v>19</v>
      </c>
      <c r="B40" t="s">
        <v>14</v>
      </c>
      <c r="C40">
        <v>0.61232699178358274</v>
      </c>
      <c r="D40">
        <v>29.177177027689382</v>
      </c>
      <c r="E40" t="b">
        <v>1</v>
      </c>
      <c r="F40" s="2" t="b">
        <v>1</v>
      </c>
      <c r="G40" s="2" t="b">
        <v>1</v>
      </c>
      <c r="H40" s="2" t="b">
        <v>1</v>
      </c>
      <c r="I40" s="2" t="b">
        <v>1</v>
      </c>
      <c r="J40" s="2" t="b">
        <v>1</v>
      </c>
      <c r="K40" s="2" t="b">
        <v>1</v>
      </c>
    </row>
    <row r="41" spans="1:11" x14ac:dyDescent="0.35">
      <c r="A41" s="7" t="s">
        <v>20</v>
      </c>
      <c r="B41" t="s">
        <v>14</v>
      </c>
      <c r="C41">
        <v>0.71740993810161768</v>
      </c>
      <c r="D41">
        <v>29.242332461396487</v>
      </c>
      <c r="E41" t="b">
        <v>0</v>
      </c>
      <c r="F41" s="1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</row>
    <row r="42" spans="1:11" x14ac:dyDescent="0.35">
      <c r="A42" t="s">
        <v>20</v>
      </c>
      <c r="B42" t="s">
        <v>8</v>
      </c>
      <c r="C42">
        <v>0.71740993810161768</v>
      </c>
      <c r="D42">
        <v>29.534781508346462</v>
      </c>
      <c r="E42" t="b">
        <v>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0</v>
      </c>
      <c r="K42" s="2" t="b">
        <v>0</v>
      </c>
    </row>
    <row r="43" spans="1:11" x14ac:dyDescent="0.35">
      <c r="A43" t="s">
        <v>20</v>
      </c>
      <c r="B43" t="s">
        <v>7</v>
      </c>
      <c r="C43">
        <v>0.71740993810161768</v>
      </c>
      <c r="D43">
        <v>29.534902640658423</v>
      </c>
      <c r="E43" t="b">
        <v>0</v>
      </c>
      <c r="F43" s="2" t="b">
        <v>0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</row>
    <row r="44" spans="1:11" x14ac:dyDescent="0.35">
      <c r="A44" t="s">
        <v>20</v>
      </c>
      <c r="B44" t="s">
        <v>6</v>
      </c>
      <c r="C44">
        <v>0.71740993810161768</v>
      </c>
      <c r="D44">
        <v>29.615205869702237</v>
      </c>
      <c r="E44" t="b">
        <v>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</row>
    <row r="45" spans="1:11" x14ac:dyDescent="0.35">
      <c r="A45" t="s">
        <v>20</v>
      </c>
      <c r="B45" t="s">
        <v>9</v>
      </c>
      <c r="C45">
        <v>0.71740993810161768</v>
      </c>
      <c r="D45">
        <v>29.720336882646521</v>
      </c>
      <c r="E45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</row>
    <row r="46" spans="1:11" x14ac:dyDescent="0.35">
      <c r="A46" t="s">
        <v>20</v>
      </c>
      <c r="B46" t="s">
        <v>12</v>
      </c>
      <c r="C46">
        <v>0.71740993810161768</v>
      </c>
      <c r="D46">
        <v>29.740558604832692</v>
      </c>
      <c r="E46" t="b">
        <v>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</row>
    <row r="47" spans="1:11" x14ac:dyDescent="0.35">
      <c r="A47" t="s">
        <v>20</v>
      </c>
      <c r="B47" t="s">
        <v>11</v>
      </c>
      <c r="C47">
        <v>0.71740993810161768</v>
      </c>
      <c r="D47">
        <v>29.959742399498104</v>
      </c>
      <c r="E47" t="b">
        <v>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  <c r="K47" s="2" t="b">
        <v>0</v>
      </c>
    </row>
    <row r="48" spans="1:11" x14ac:dyDescent="0.35">
      <c r="A48" s="6" t="s">
        <v>10</v>
      </c>
      <c r="B48" t="s">
        <v>6</v>
      </c>
      <c r="C48">
        <v>30.488818852698717</v>
      </c>
      <c r="D48">
        <v>30.308346551545299</v>
      </c>
      <c r="E48" t="b">
        <v>0</v>
      </c>
      <c r="F48" s="6" t="b">
        <v>0</v>
      </c>
      <c r="G48" s="6" t="b">
        <f>IF(C48&gt;5,E48,"-")</f>
        <v>0</v>
      </c>
      <c r="H48" s="6" t="b">
        <f t="shared" ref="H48" si="4">IF(C48&gt;10,E48,"-")</f>
        <v>0</v>
      </c>
      <c r="I48" s="6" t="b">
        <f>IF(C48&gt;20,E48,"-")</f>
        <v>0</v>
      </c>
      <c r="J48" s="6" t="b">
        <f>IF(C48&gt;30,E48,"-")</f>
        <v>0</v>
      </c>
      <c r="K48" s="2" t="b">
        <v>0</v>
      </c>
    </row>
    <row r="49" spans="1:11" x14ac:dyDescent="0.35">
      <c r="A49" s="6" t="s">
        <v>21</v>
      </c>
      <c r="B49" t="s">
        <v>7</v>
      </c>
      <c r="C49">
        <v>6.0895616608321603</v>
      </c>
      <c r="D49">
        <v>30.743529867882174</v>
      </c>
      <c r="E49" t="b">
        <v>0</v>
      </c>
      <c r="F49" s="6" t="b">
        <v>0</v>
      </c>
      <c r="G49" s="6" t="b">
        <f>IF(C49&gt;5,E49,"-")</f>
        <v>0</v>
      </c>
      <c r="H49" s="1" t="b">
        <v>0</v>
      </c>
      <c r="I49" s="1" t="b">
        <v>0</v>
      </c>
      <c r="J49" s="1" t="b">
        <v>0</v>
      </c>
      <c r="K49" s="1" t="b">
        <v>0</v>
      </c>
    </row>
    <row r="50" spans="1:11" x14ac:dyDescent="0.35">
      <c r="A50" s="7" t="s">
        <v>22</v>
      </c>
      <c r="B50" t="s">
        <v>8</v>
      </c>
      <c r="C50">
        <v>0.2238822063762953</v>
      </c>
      <c r="D50">
        <v>30.755956303763455</v>
      </c>
      <c r="E50" t="b">
        <v>0</v>
      </c>
      <c r="F50" s="1" t="b">
        <v>0</v>
      </c>
      <c r="G50" s="1" t="b">
        <v>0</v>
      </c>
      <c r="H50" s="1" t="b">
        <v>0</v>
      </c>
      <c r="I50" s="1" t="b">
        <v>0</v>
      </c>
      <c r="J50" s="1" t="b">
        <v>0</v>
      </c>
      <c r="K50" s="1" t="b">
        <v>0</v>
      </c>
    </row>
    <row r="51" spans="1:11" x14ac:dyDescent="0.35">
      <c r="A51" t="s">
        <v>22</v>
      </c>
      <c r="B51" t="s">
        <v>14</v>
      </c>
      <c r="C51">
        <v>0.2238822063762953</v>
      </c>
      <c r="D51">
        <v>30.952523680957086</v>
      </c>
      <c r="E51" t="b">
        <v>0</v>
      </c>
      <c r="F51" s="2" t="b">
        <v>0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</row>
    <row r="52" spans="1:11" x14ac:dyDescent="0.35">
      <c r="A52" t="s">
        <v>22</v>
      </c>
      <c r="B52" t="s">
        <v>9</v>
      </c>
      <c r="C52">
        <v>0.2238822063762953</v>
      </c>
      <c r="D52">
        <v>30.957105984381037</v>
      </c>
      <c r="E52" t="b">
        <v>0</v>
      </c>
      <c r="F52" s="2" t="b">
        <v>0</v>
      </c>
      <c r="G52" s="2" t="b">
        <v>0</v>
      </c>
      <c r="H52" s="2" t="b">
        <v>0</v>
      </c>
      <c r="I52" s="2" t="b">
        <v>0</v>
      </c>
      <c r="J52" s="2" t="b">
        <v>0</v>
      </c>
      <c r="K52" s="2" t="b">
        <v>0</v>
      </c>
    </row>
    <row r="53" spans="1:11" x14ac:dyDescent="0.35">
      <c r="A53" t="s">
        <v>22</v>
      </c>
      <c r="B53" t="s">
        <v>12</v>
      </c>
      <c r="C53">
        <v>0.2238822063762953</v>
      </c>
      <c r="D53">
        <v>30.96665412533568</v>
      </c>
      <c r="E53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</row>
    <row r="54" spans="1:11" x14ac:dyDescent="0.35">
      <c r="A54" t="s">
        <v>22</v>
      </c>
      <c r="B54" t="s">
        <v>6</v>
      </c>
      <c r="C54">
        <v>0.2238822063762953</v>
      </c>
      <c r="D54">
        <v>30.966712812186238</v>
      </c>
      <c r="E54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</row>
    <row r="55" spans="1:11" x14ac:dyDescent="0.35">
      <c r="A55" t="s">
        <v>22</v>
      </c>
      <c r="B55" t="s">
        <v>7</v>
      </c>
      <c r="C55">
        <v>0.2238822063762953</v>
      </c>
      <c r="D55">
        <v>30.975353459770574</v>
      </c>
      <c r="E55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</row>
    <row r="56" spans="1:11" x14ac:dyDescent="0.35">
      <c r="A56" t="s">
        <v>22</v>
      </c>
      <c r="B56" t="s">
        <v>11</v>
      </c>
      <c r="C56">
        <v>0.2238822063762953</v>
      </c>
      <c r="D56">
        <v>30.97983851013975</v>
      </c>
      <c r="E56" t="b">
        <v>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</row>
    <row r="57" spans="1:11" x14ac:dyDescent="0.35">
      <c r="A57" s="6" t="s">
        <v>23</v>
      </c>
      <c r="B57" t="s">
        <v>8</v>
      </c>
      <c r="C57">
        <v>7.7173004121873845</v>
      </c>
      <c r="D57">
        <v>31.433913598440235</v>
      </c>
      <c r="E57" t="b">
        <v>0</v>
      </c>
      <c r="F57" s="6" t="b">
        <v>0</v>
      </c>
      <c r="G57" s="6" t="b">
        <f>IF(C57&gt;5,E57,"-")</f>
        <v>0</v>
      </c>
      <c r="H57" s="1" t="b">
        <v>0</v>
      </c>
      <c r="I57" s="1" t="b">
        <v>0</v>
      </c>
      <c r="J57" s="1" t="b">
        <v>0</v>
      </c>
      <c r="K57" s="1" t="b">
        <v>0</v>
      </c>
    </row>
    <row r="58" spans="1:11" x14ac:dyDescent="0.35">
      <c r="A58" s="6" t="s">
        <v>10</v>
      </c>
      <c r="B58" t="s">
        <v>12</v>
      </c>
      <c r="C58">
        <v>30.488818852698717</v>
      </c>
      <c r="D58">
        <v>32.798168031389402</v>
      </c>
      <c r="E58" t="b">
        <v>0</v>
      </c>
      <c r="F58" s="6" t="b">
        <v>0</v>
      </c>
      <c r="G58" s="6" t="b">
        <f t="shared" ref="G58:G90" si="5">IF(C58&gt;5,E58,"-")</f>
        <v>0</v>
      </c>
      <c r="H58" s="6" t="b">
        <f t="shared" ref="H58:H87" si="6">IF(C58&gt;10,E58,"-")</f>
        <v>0</v>
      </c>
      <c r="I58" s="6" t="b">
        <f>IF(C58&gt;20,E58,"-")</f>
        <v>0</v>
      </c>
      <c r="J58" s="6" t="b">
        <f>IF(C58&gt;30,E58,"-")</f>
        <v>0</v>
      </c>
      <c r="K58" s="2" t="b">
        <v>0</v>
      </c>
    </row>
    <row r="59" spans="1:11" x14ac:dyDescent="0.35">
      <c r="A59" s="6" t="s">
        <v>10</v>
      </c>
      <c r="B59" t="s">
        <v>8</v>
      </c>
      <c r="C59">
        <v>30.488818852698717</v>
      </c>
      <c r="D59">
        <v>32.809569263513914</v>
      </c>
      <c r="E59" t="b">
        <v>0</v>
      </c>
      <c r="F59" s="6" t="b">
        <v>0</v>
      </c>
      <c r="G59" s="6" t="b">
        <f t="shared" si="5"/>
        <v>0</v>
      </c>
      <c r="H59" s="6" t="b">
        <f t="shared" si="6"/>
        <v>0</v>
      </c>
      <c r="I59" s="6" t="b">
        <f t="shared" ref="I59:I68" si="7">IF(C59&gt;20,E59,"-")</f>
        <v>0</v>
      </c>
      <c r="J59" s="6" t="b">
        <f>IF(C59&gt;30,E59,"-")</f>
        <v>0</v>
      </c>
      <c r="K59" s="2" t="b">
        <v>0</v>
      </c>
    </row>
    <row r="60" spans="1:11" x14ac:dyDescent="0.35">
      <c r="A60" s="6" t="s">
        <v>18</v>
      </c>
      <c r="B60" t="s">
        <v>7</v>
      </c>
      <c r="C60">
        <v>15.4198124313588</v>
      </c>
      <c r="D60">
        <v>32.835069538511881</v>
      </c>
      <c r="E60" t="b">
        <v>0</v>
      </c>
      <c r="F60" s="6" t="b">
        <v>0</v>
      </c>
      <c r="G60" s="6" t="b">
        <f t="shared" si="5"/>
        <v>0</v>
      </c>
      <c r="H60" s="6" t="b">
        <f t="shared" si="6"/>
        <v>0</v>
      </c>
      <c r="I60" s="2" t="b">
        <v>0</v>
      </c>
      <c r="J60" s="2" t="b">
        <v>0</v>
      </c>
      <c r="K60" s="2" t="b">
        <v>0</v>
      </c>
    </row>
    <row r="61" spans="1:11" x14ac:dyDescent="0.35">
      <c r="A61" s="6" t="s">
        <v>10</v>
      </c>
      <c r="B61" t="s">
        <v>7</v>
      </c>
      <c r="C61">
        <v>30.488818852698717</v>
      </c>
      <c r="D61">
        <v>32.843859309996049</v>
      </c>
      <c r="E61" t="b">
        <v>0</v>
      </c>
      <c r="F61" s="6" t="b">
        <v>0</v>
      </c>
      <c r="G61" s="6" t="b">
        <f t="shared" si="5"/>
        <v>0</v>
      </c>
      <c r="H61" s="6" t="b">
        <f t="shared" si="6"/>
        <v>0</v>
      </c>
      <c r="I61" s="6" t="b">
        <f t="shared" si="7"/>
        <v>0</v>
      </c>
      <c r="J61" s="6" t="b">
        <f>IF(C61&gt;30,E61,"-")</f>
        <v>0</v>
      </c>
      <c r="K61" s="2" t="b">
        <v>0</v>
      </c>
    </row>
    <row r="62" spans="1:11" x14ac:dyDescent="0.35">
      <c r="A62" s="6" t="s">
        <v>10</v>
      </c>
      <c r="B62" t="s">
        <v>9</v>
      </c>
      <c r="C62">
        <v>30.488818852698717</v>
      </c>
      <c r="D62">
        <v>32.856720890620039</v>
      </c>
      <c r="E62" t="b">
        <v>0</v>
      </c>
      <c r="F62" s="6" t="b">
        <v>0</v>
      </c>
      <c r="G62" s="6" t="b">
        <f t="shared" si="5"/>
        <v>0</v>
      </c>
      <c r="H62" s="6" t="b">
        <f t="shared" si="6"/>
        <v>0</v>
      </c>
      <c r="I62" s="6" t="b">
        <f t="shared" si="7"/>
        <v>0</v>
      </c>
      <c r="J62" s="6" t="b">
        <f>IF(C62&gt;30,E62,"-")</f>
        <v>0</v>
      </c>
      <c r="K62" s="2" t="b">
        <v>0</v>
      </c>
    </row>
    <row r="63" spans="1:11" x14ac:dyDescent="0.35">
      <c r="A63" s="6" t="s">
        <v>10</v>
      </c>
      <c r="B63" t="s">
        <v>14</v>
      </c>
      <c r="C63">
        <v>30.488818852698717</v>
      </c>
      <c r="D63">
        <v>32.892167691786639</v>
      </c>
      <c r="E63" t="b">
        <v>0</v>
      </c>
      <c r="F63" s="6" t="b">
        <v>0</v>
      </c>
      <c r="G63" s="6" t="b">
        <f t="shared" si="5"/>
        <v>0</v>
      </c>
      <c r="H63" s="6" t="b">
        <f t="shared" si="6"/>
        <v>0</v>
      </c>
      <c r="I63" s="6" t="b">
        <f t="shared" si="7"/>
        <v>0</v>
      </c>
      <c r="J63" s="6" t="b">
        <f>IF(C63&gt;30,E63,"-")</f>
        <v>0</v>
      </c>
      <c r="K63" s="2" t="b">
        <v>0</v>
      </c>
    </row>
    <row r="64" spans="1:11" x14ac:dyDescent="0.35">
      <c r="A64" s="6" t="s">
        <v>13</v>
      </c>
      <c r="B64" t="s">
        <v>14</v>
      </c>
      <c r="C64">
        <v>28.263877553358544</v>
      </c>
      <c r="D64">
        <v>33.195935931757063</v>
      </c>
      <c r="E64" t="b">
        <v>0</v>
      </c>
      <c r="F64" s="6" t="b">
        <v>0</v>
      </c>
      <c r="G64" s="6" t="b">
        <f t="shared" si="5"/>
        <v>0</v>
      </c>
      <c r="H64" s="6" t="b">
        <f t="shared" si="6"/>
        <v>0</v>
      </c>
      <c r="I64" s="6" t="b">
        <f t="shared" si="7"/>
        <v>0</v>
      </c>
      <c r="J64" s="2" t="b">
        <v>0</v>
      </c>
      <c r="K64" s="2" t="b">
        <v>0</v>
      </c>
    </row>
    <row r="65" spans="1:11" x14ac:dyDescent="0.35">
      <c r="A65" s="6" t="s">
        <v>13</v>
      </c>
      <c r="B65" t="s">
        <v>12</v>
      </c>
      <c r="C65">
        <v>28.263877553358544</v>
      </c>
      <c r="D65">
        <v>33.203020544767703</v>
      </c>
      <c r="E65" t="b">
        <v>0</v>
      </c>
      <c r="F65" s="6" t="b">
        <v>0</v>
      </c>
      <c r="G65" s="6" t="b">
        <f t="shared" si="5"/>
        <v>0</v>
      </c>
      <c r="H65" s="6" t="b">
        <f t="shared" si="6"/>
        <v>0</v>
      </c>
      <c r="I65" s="6" t="b">
        <f t="shared" si="7"/>
        <v>0</v>
      </c>
      <c r="J65" s="2" t="b">
        <v>0</v>
      </c>
      <c r="K65" s="2" t="b">
        <v>0</v>
      </c>
    </row>
    <row r="66" spans="1:11" x14ac:dyDescent="0.35">
      <c r="A66" s="6" t="s">
        <v>13</v>
      </c>
      <c r="B66" t="s">
        <v>11</v>
      </c>
      <c r="C66">
        <v>28.263877553358544</v>
      </c>
      <c r="D66">
        <v>33.20362214184297</v>
      </c>
      <c r="E66" t="b">
        <v>0</v>
      </c>
      <c r="F66" s="6" t="b">
        <v>0</v>
      </c>
      <c r="G66" s="6" t="b">
        <f t="shared" si="5"/>
        <v>0</v>
      </c>
      <c r="H66" s="6" t="b">
        <f t="shared" si="6"/>
        <v>0</v>
      </c>
      <c r="I66" s="6" t="b">
        <f t="shared" si="7"/>
        <v>0</v>
      </c>
      <c r="J66" s="2" t="b">
        <v>0</v>
      </c>
      <c r="K66" s="2" t="b">
        <v>0</v>
      </c>
    </row>
    <row r="67" spans="1:11" x14ac:dyDescent="0.35">
      <c r="A67" s="6" t="s">
        <v>13</v>
      </c>
      <c r="B67" t="s">
        <v>8</v>
      </c>
      <c r="C67">
        <v>28.263877553358544</v>
      </c>
      <c r="D67">
        <v>33.229882279081274</v>
      </c>
      <c r="E67" t="b">
        <v>0</v>
      </c>
      <c r="F67" s="6" t="b">
        <v>0</v>
      </c>
      <c r="G67" s="6" t="b">
        <f t="shared" si="5"/>
        <v>0</v>
      </c>
      <c r="H67" s="6" t="b">
        <f t="shared" si="6"/>
        <v>0</v>
      </c>
      <c r="I67" s="6" t="b">
        <f t="shared" si="7"/>
        <v>0</v>
      </c>
      <c r="J67" s="2" t="b">
        <v>0</v>
      </c>
      <c r="K67" s="2" t="b">
        <v>0</v>
      </c>
    </row>
    <row r="68" spans="1:11" x14ac:dyDescent="0.35">
      <c r="A68" s="6" t="s">
        <v>13</v>
      </c>
      <c r="B68" t="s">
        <v>9</v>
      </c>
      <c r="C68">
        <v>28.263877553358544</v>
      </c>
      <c r="D68">
        <v>33.230648809378437</v>
      </c>
      <c r="E68" t="b">
        <v>0</v>
      </c>
      <c r="F68" s="6" t="b">
        <v>0</v>
      </c>
      <c r="G68" s="6" t="b">
        <f t="shared" si="5"/>
        <v>0</v>
      </c>
      <c r="H68" s="6" t="b">
        <f t="shared" si="6"/>
        <v>0</v>
      </c>
      <c r="I68" s="6" t="b">
        <f t="shared" si="7"/>
        <v>0</v>
      </c>
      <c r="J68" s="2" t="b">
        <v>0</v>
      </c>
      <c r="K68" s="2" t="b">
        <v>0</v>
      </c>
    </row>
    <row r="69" spans="1:11" x14ac:dyDescent="0.35">
      <c r="A69" s="6" t="s">
        <v>21</v>
      </c>
      <c r="B69" t="s">
        <v>8</v>
      </c>
      <c r="C69">
        <v>6.0895616608321603</v>
      </c>
      <c r="D69">
        <v>33.234746518480215</v>
      </c>
      <c r="E69" t="b">
        <v>0</v>
      </c>
      <c r="F69" s="6" t="b">
        <v>0</v>
      </c>
      <c r="G69" s="6" t="b">
        <f t="shared" si="5"/>
        <v>0</v>
      </c>
      <c r="H69" s="2" t="b">
        <v>0</v>
      </c>
      <c r="I69" s="2" t="b">
        <v>0</v>
      </c>
      <c r="J69" s="2" t="b">
        <v>0</v>
      </c>
      <c r="K69" s="2" t="b">
        <v>0</v>
      </c>
    </row>
    <row r="70" spans="1:11" x14ac:dyDescent="0.35">
      <c r="A70" s="6" t="s">
        <v>23</v>
      </c>
      <c r="B70" t="s">
        <v>14</v>
      </c>
      <c r="C70">
        <v>7.7173004121873845</v>
      </c>
      <c r="D70">
        <v>33.448338126650405</v>
      </c>
      <c r="E70" t="b">
        <v>0</v>
      </c>
      <c r="F70" s="6" t="b">
        <v>0</v>
      </c>
      <c r="G70" s="6" t="b">
        <f t="shared" si="5"/>
        <v>0</v>
      </c>
      <c r="H70" s="2" t="b">
        <v>0</v>
      </c>
      <c r="I70" s="2" t="b">
        <v>0</v>
      </c>
      <c r="J70" s="2" t="b">
        <v>0</v>
      </c>
      <c r="K70" s="2" t="b">
        <v>0</v>
      </c>
    </row>
    <row r="71" spans="1:11" x14ac:dyDescent="0.35">
      <c r="A71" s="6" t="s">
        <v>18</v>
      </c>
      <c r="B71" t="s">
        <v>14</v>
      </c>
      <c r="C71">
        <v>15.4198124313588</v>
      </c>
      <c r="D71">
        <v>33.593224135959964</v>
      </c>
      <c r="E71" t="b">
        <v>0</v>
      </c>
      <c r="F71" s="6" t="b">
        <v>0</v>
      </c>
      <c r="G71" s="6" t="b">
        <f t="shared" si="5"/>
        <v>0</v>
      </c>
      <c r="H71" s="6" t="b">
        <f t="shared" si="6"/>
        <v>0</v>
      </c>
      <c r="I71" s="2" t="b">
        <v>0</v>
      </c>
      <c r="J71" s="2" t="b">
        <v>0</v>
      </c>
      <c r="K71" s="2" t="b">
        <v>0</v>
      </c>
    </row>
    <row r="72" spans="1:11" x14ac:dyDescent="0.35">
      <c r="A72" s="6" t="s">
        <v>18</v>
      </c>
      <c r="B72" t="s">
        <v>8</v>
      </c>
      <c r="C72">
        <v>15.4198124313588</v>
      </c>
      <c r="D72">
        <v>34.228208778774459</v>
      </c>
      <c r="E72" t="b">
        <v>0</v>
      </c>
      <c r="F72" s="6" t="b">
        <v>0</v>
      </c>
      <c r="G72" s="6" t="b">
        <f t="shared" si="5"/>
        <v>0</v>
      </c>
      <c r="H72" s="6" t="b">
        <f t="shared" si="6"/>
        <v>0</v>
      </c>
      <c r="I72" s="2" t="b">
        <v>0</v>
      </c>
      <c r="J72" s="2" t="b">
        <v>0</v>
      </c>
      <c r="K72" s="2" t="b">
        <v>0</v>
      </c>
    </row>
    <row r="73" spans="1:11" x14ac:dyDescent="0.35">
      <c r="A73" s="6" t="s">
        <v>21</v>
      </c>
      <c r="B73" t="s">
        <v>6</v>
      </c>
      <c r="C73">
        <v>6.0895616608321603</v>
      </c>
      <c r="D73">
        <v>35.339605958639424</v>
      </c>
      <c r="E73" t="b">
        <v>0</v>
      </c>
      <c r="F73" s="6" t="b">
        <v>0</v>
      </c>
      <c r="G73" s="6" t="b">
        <f t="shared" si="5"/>
        <v>0</v>
      </c>
      <c r="H73" s="2" t="b">
        <v>0</v>
      </c>
      <c r="I73" s="2" t="b">
        <v>0</v>
      </c>
      <c r="J73" s="2" t="b">
        <v>0</v>
      </c>
      <c r="K73" s="2" t="b">
        <v>0</v>
      </c>
    </row>
    <row r="74" spans="1:11" x14ac:dyDescent="0.35">
      <c r="A74" s="6" t="s">
        <v>21</v>
      </c>
      <c r="B74" t="s">
        <v>14</v>
      </c>
      <c r="C74">
        <v>6.0895616608321603</v>
      </c>
      <c r="D74">
        <v>35.406267457999405</v>
      </c>
      <c r="E74" t="b">
        <v>0</v>
      </c>
      <c r="F74" s="6" t="b">
        <v>0</v>
      </c>
      <c r="G74" s="6" t="b">
        <f t="shared" si="5"/>
        <v>0</v>
      </c>
      <c r="H74" s="2" t="b">
        <v>0</v>
      </c>
      <c r="I74" s="2" t="b">
        <v>0</v>
      </c>
      <c r="J74" s="2" t="b">
        <v>0</v>
      </c>
      <c r="K74" s="2" t="b">
        <v>0</v>
      </c>
    </row>
    <row r="75" spans="1:11" x14ac:dyDescent="0.35">
      <c r="A75" s="6" t="s">
        <v>21</v>
      </c>
      <c r="B75" t="s">
        <v>9</v>
      </c>
      <c r="C75">
        <v>6.0895616608321603</v>
      </c>
      <c r="D75">
        <v>35.6176461624203</v>
      </c>
      <c r="E75" t="b">
        <v>0</v>
      </c>
      <c r="F75" s="6" t="b">
        <v>0</v>
      </c>
      <c r="G75" s="6" t="b">
        <f t="shared" si="5"/>
        <v>0</v>
      </c>
      <c r="H75" s="2" t="b">
        <v>0</v>
      </c>
      <c r="I75" s="2" t="b">
        <v>0</v>
      </c>
      <c r="J75" s="2" t="b">
        <v>0</v>
      </c>
      <c r="K75" s="2" t="b">
        <v>0</v>
      </c>
    </row>
    <row r="76" spans="1:11" x14ac:dyDescent="0.35">
      <c r="A76" s="6" t="s">
        <v>21</v>
      </c>
      <c r="B76" t="s">
        <v>11</v>
      </c>
      <c r="C76">
        <v>6.0895616608321603</v>
      </c>
      <c r="D76">
        <v>35.695766394105732</v>
      </c>
      <c r="E76" t="b">
        <v>0</v>
      </c>
      <c r="F76" s="6" t="b">
        <v>0</v>
      </c>
      <c r="G76" s="6" t="b">
        <f t="shared" si="5"/>
        <v>0</v>
      </c>
      <c r="H76" s="2" t="b">
        <v>0</v>
      </c>
      <c r="I76" s="2" t="b">
        <v>0</v>
      </c>
      <c r="J76" s="2" t="b">
        <v>0</v>
      </c>
      <c r="K76" s="2" t="b">
        <v>0</v>
      </c>
    </row>
    <row r="77" spans="1:11" x14ac:dyDescent="0.35">
      <c r="A77" s="6" t="s">
        <v>23</v>
      </c>
      <c r="B77" t="s">
        <v>6</v>
      </c>
      <c r="C77">
        <v>7.7173004121873845</v>
      </c>
      <c r="D77">
        <v>36.438095873937996</v>
      </c>
      <c r="E77" t="b">
        <v>0</v>
      </c>
      <c r="F77" s="6" t="b">
        <v>0</v>
      </c>
      <c r="G77" s="6" t="b">
        <f t="shared" si="5"/>
        <v>0</v>
      </c>
      <c r="H77" s="2" t="b">
        <v>0</v>
      </c>
      <c r="I77" s="2" t="b">
        <v>0</v>
      </c>
      <c r="J77" s="2" t="b">
        <v>0</v>
      </c>
      <c r="K77" s="2" t="b">
        <v>0</v>
      </c>
    </row>
    <row r="78" spans="1:11" x14ac:dyDescent="0.35">
      <c r="A78" s="6" t="s">
        <v>21</v>
      </c>
      <c r="B78" t="s">
        <v>12</v>
      </c>
      <c r="C78">
        <v>6.0895616608321603</v>
      </c>
      <c r="D78">
        <v>36.833091528714334</v>
      </c>
      <c r="E78" t="b">
        <v>0</v>
      </c>
      <c r="F78" s="6" t="b">
        <v>0</v>
      </c>
      <c r="G78" s="6" t="b">
        <f t="shared" si="5"/>
        <v>0</v>
      </c>
      <c r="H78" s="2" t="b">
        <v>0</v>
      </c>
      <c r="I78" s="2" t="b">
        <v>0</v>
      </c>
      <c r="J78" s="2" t="b">
        <v>0</v>
      </c>
      <c r="K78" s="2" t="b">
        <v>0</v>
      </c>
    </row>
    <row r="79" spans="1:11" x14ac:dyDescent="0.35">
      <c r="A79" s="6" t="s">
        <v>23</v>
      </c>
      <c r="B79" t="s">
        <v>11</v>
      </c>
      <c r="C79">
        <v>7.7173004121873845</v>
      </c>
      <c r="D79">
        <v>36.893690051946592</v>
      </c>
      <c r="E79" t="b">
        <v>0</v>
      </c>
      <c r="F79" s="6" t="b">
        <v>0</v>
      </c>
      <c r="G79" s="6" t="b">
        <f t="shared" si="5"/>
        <v>0</v>
      </c>
      <c r="H79" s="2" t="b">
        <v>0</v>
      </c>
      <c r="I79" s="2" t="b">
        <v>0</v>
      </c>
      <c r="J79" s="2" t="b">
        <v>0</v>
      </c>
      <c r="K79" s="2" t="b">
        <v>0</v>
      </c>
    </row>
    <row r="80" spans="1:11" x14ac:dyDescent="0.35">
      <c r="A80" s="6" t="s">
        <v>18</v>
      </c>
      <c r="B80" t="s">
        <v>9</v>
      </c>
      <c r="C80">
        <v>15.4198124313588</v>
      </c>
      <c r="D80">
        <v>37.053458440441375</v>
      </c>
      <c r="E80" t="b">
        <v>0</v>
      </c>
      <c r="F80" s="6" t="b">
        <v>0</v>
      </c>
      <c r="G80" s="6" t="b">
        <f t="shared" si="5"/>
        <v>0</v>
      </c>
      <c r="H80" s="6" t="b">
        <f t="shared" si="6"/>
        <v>0</v>
      </c>
      <c r="I80" s="2" t="b">
        <v>0</v>
      </c>
      <c r="J80" s="2" t="b">
        <v>0</v>
      </c>
      <c r="K80" s="2" t="b">
        <v>0</v>
      </c>
    </row>
    <row r="81" spans="1:11" x14ac:dyDescent="0.35">
      <c r="A81" s="6" t="s">
        <v>18</v>
      </c>
      <c r="B81" t="s">
        <v>11</v>
      </c>
      <c r="C81">
        <v>15.4198124313588</v>
      </c>
      <c r="D81">
        <v>37.279961354312398</v>
      </c>
      <c r="E81" t="b">
        <v>0</v>
      </c>
      <c r="F81" s="6" t="b">
        <v>0</v>
      </c>
      <c r="G81" s="6" t="b">
        <f t="shared" si="5"/>
        <v>0</v>
      </c>
      <c r="H81" s="6" t="b">
        <f t="shared" si="6"/>
        <v>0</v>
      </c>
      <c r="I81" s="2" t="b">
        <v>0</v>
      </c>
      <c r="J81" s="2" t="b">
        <v>0</v>
      </c>
      <c r="K81" s="2" t="b">
        <v>0</v>
      </c>
    </row>
    <row r="82" spans="1:11" x14ac:dyDescent="0.35">
      <c r="A82" s="6" t="s">
        <v>23</v>
      </c>
      <c r="B82" t="s">
        <v>9</v>
      </c>
      <c r="C82">
        <v>7.7173004121873845</v>
      </c>
      <c r="D82">
        <v>37.604479404879967</v>
      </c>
      <c r="E82" t="b">
        <v>0</v>
      </c>
      <c r="F82" s="6" t="b">
        <v>0</v>
      </c>
      <c r="G82" s="6" t="b">
        <f t="shared" si="5"/>
        <v>0</v>
      </c>
      <c r="H82" s="2" t="b">
        <v>0</v>
      </c>
      <c r="I82" s="2" t="b">
        <v>0</v>
      </c>
      <c r="J82" s="2" t="b">
        <v>0</v>
      </c>
      <c r="K82" s="2" t="b">
        <v>0</v>
      </c>
    </row>
    <row r="83" spans="1:11" x14ac:dyDescent="0.35">
      <c r="A83" s="6" t="s">
        <v>24</v>
      </c>
      <c r="B83" t="s">
        <v>8</v>
      </c>
      <c r="C83">
        <v>2.089313715208398</v>
      </c>
      <c r="D83">
        <v>37.868706113959419</v>
      </c>
      <c r="E83" t="b">
        <v>1</v>
      </c>
      <c r="F83" s="6" t="b">
        <v>1</v>
      </c>
      <c r="G83" s="1" t="b">
        <v>1</v>
      </c>
      <c r="H83" s="1" t="b">
        <v>1</v>
      </c>
      <c r="I83" s="1" t="b">
        <v>1</v>
      </c>
      <c r="J83" s="1" t="b">
        <v>1</v>
      </c>
      <c r="K83" s="1" t="b">
        <v>1</v>
      </c>
    </row>
    <row r="84" spans="1:11" x14ac:dyDescent="0.35">
      <c r="A84" s="6" t="s">
        <v>23</v>
      </c>
      <c r="B84" t="s">
        <v>7</v>
      </c>
      <c r="C84">
        <v>7.7173004121873845</v>
      </c>
      <c r="D84">
        <v>38.337381620728259</v>
      </c>
      <c r="E84" t="b">
        <v>0</v>
      </c>
      <c r="F84" s="6" t="b">
        <v>0</v>
      </c>
      <c r="G84" s="6" t="b">
        <f t="shared" si="5"/>
        <v>0</v>
      </c>
      <c r="H84" s="2" t="b">
        <v>0</v>
      </c>
      <c r="I84" s="2" t="b">
        <v>0</v>
      </c>
      <c r="J84" s="2" t="b">
        <v>0</v>
      </c>
      <c r="K84" s="2" t="b">
        <v>0</v>
      </c>
    </row>
    <row r="85" spans="1:11" x14ac:dyDescent="0.35">
      <c r="A85" s="6" t="s">
        <v>24</v>
      </c>
      <c r="B85" t="s">
        <v>12</v>
      </c>
      <c r="C85">
        <v>2.089313715208398</v>
      </c>
      <c r="D85">
        <v>38.466189320242961</v>
      </c>
      <c r="E85" t="b">
        <v>0</v>
      </c>
      <c r="F85" s="6" t="b">
        <v>0</v>
      </c>
      <c r="G85" s="2" t="b">
        <v>1</v>
      </c>
      <c r="H85" s="2" t="b">
        <v>1</v>
      </c>
      <c r="I85" s="2" t="b">
        <v>1</v>
      </c>
      <c r="J85" s="2" t="b">
        <v>1</v>
      </c>
      <c r="K85" s="2" t="b">
        <v>1</v>
      </c>
    </row>
    <row r="86" spans="1:11" x14ac:dyDescent="0.35">
      <c r="A86" s="6" t="s">
        <v>23</v>
      </c>
      <c r="B86" t="s">
        <v>12</v>
      </c>
      <c r="C86">
        <v>7.7173004121873845</v>
      </c>
      <c r="D86">
        <v>39.151214010627619</v>
      </c>
      <c r="E86" t="b">
        <v>0</v>
      </c>
      <c r="F86" s="6" t="b">
        <v>0</v>
      </c>
      <c r="G86" s="6" t="b">
        <f t="shared" si="5"/>
        <v>0</v>
      </c>
      <c r="H86" s="2" t="b">
        <v>0</v>
      </c>
      <c r="I86" s="2" t="b">
        <v>0</v>
      </c>
      <c r="J86" s="2" t="b">
        <v>0</v>
      </c>
      <c r="K86" s="2" t="b">
        <v>0</v>
      </c>
    </row>
    <row r="87" spans="1:11" x14ac:dyDescent="0.35">
      <c r="A87" s="6" t="s">
        <v>18</v>
      </c>
      <c r="B87" t="s">
        <v>12</v>
      </c>
      <c r="C87">
        <v>15.4198124313588</v>
      </c>
      <c r="D87">
        <v>39.292123615615843</v>
      </c>
      <c r="E87" t="b">
        <v>0</v>
      </c>
      <c r="F87" s="6" t="b">
        <v>0</v>
      </c>
      <c r="G87" s="6" t="b">
        <f t="shared" si="5"/>
        <v>0</v>
      </c>
      <c r="H87" s="6" t="b">
        <f t="shared" si="6"/>
        <v>0</v>
      </c>
      <c r="I87" s="2" t="b">
        <v>0</v>
      </c>
      <c r="J87" s="2" t="b">
        <v>0</v>
      </c>
      <c r="K87" s="2" t="b">
        <v>0</v>
      </c>
    </row>
    <row r="88" spans="1:11" x14ac:dyDescent="0.35">
      <c r="A88" s="6" t="s">
        <v>24</v>
      </c>
      <c r="B88" t="s">
        <v>7</v>
      </c>
      <c r="C88">
        <v>2.089313715208398</v>
      </c>
      <c r="D88">
        <v>39.739959503965281</v>
      </c>
      <c r="E88" t="b">
        <v>0</v>
      </c>
      <c r="F88" s="6" t="b">
        <v>0</v>
      </c>
      <c r="G88" s="2" t="b">
        <v>1</v>
      </c>
      <c r="H88" s="2" t="b">
        <v>1</v>
      </c>
      <c r="I88" s="2" t="b">
        <v>1</v>
      </c>
      <c r="J88" s="2" t="b">
        <v>1</v>
      </c>
      <c r="K88" s="2" t="b">
        <v>1</v>
      </c>
    </row>
    <row r="89" spans="1:11" x14ac:dyDescent="0.35">
      <c r="A89" s="6" t="s">
        <v>24</v>
      </c>
      <c r="B89" t="s">
        <v>9</v>
      </c>
      <c r="C89">
        <v>2.089313715208398</v>
      </c>
      <c r="D89">
        <v>39.786934079884979</v>
      </c>
      <c r="E89" t="b">
        <v>0</v>
      </c>
      <c r="F89" s="6" t="b">
        <v>0</v>
      </c>
      <c r="G89" s="2" t="b">
        <v>1</v>
      </c>
      <c r="H89" s="2" t="b">
        <v>1</v>
      </c>
      <c r="I89" s="2" t="b">
        <v>1</v>
      </c>
      <c r="J89" s="2" t="b">
        <v>1</v>
      </c>
      <c r="K89" s="2" t="b">
        <v>1</v>
      </c>
    </row>
    <row r="90" spans="1:11" x14ac:dyDescent="0.35">
      <c r="A90" s="6" t="s">
        <v>25</v>
      </c>
      <c r="B90" t="s">
        <v>8</v>
      </c>
      <c r="C90">
        <v>5.440613761347123</v>
      </c>
      <c r="D90">
        <v>39.82686101201962</v>
      </c>
      <c r="E90" t="b">
        <v>0</v>
      </c>
      <c r="F90" s="6" t="b">
        <v>0</v>
      </c>
      <c r="G90" s="6" t="b">
        <f t="shared" si="5"/>
        <v>0</v>
      </c>
      <c r="H90" s="1" t="b">
        <v>0</v>
      </c>
      <c r="I90" s="1" t="b">
        <v>0</v>
      </c>
      <c r="J90" s="1" t="b">
        <v>0</v>
      </c>
      <c r="K90" s="1" t="b">
        <v>0</v>
      </c>
    </row>
    <row r="91" spans="1:11" x14ac:dyDescent="0.35">
      <c r="A91" s="6" t="s">
        <v>24</v>
      </c>
      <c r="B91" t="s">
        <v>11</v>
      </c>
      <c r="C91">
        <v>2.089313715208398</v>
      </c>
      <c r="D91">
        <v>39.828860272745644</v>
      </c>
      <c r="E91" t="b">
        <v>0</v>
      </c>
      <c r="F91" s="6" t="b">
        <v>0</v>
      </c>
      <c r="G91" s="2" t="b">
        <v>1</v>
      </c>
      <c r="H91" s="2" t="b">
        <v>1</v>
      </c>
      <c r="I91" s="2" t="b">
        <v>1</v>
      </c>
      <c r="J91" s="2" t="b">
        <v>1</v>
      </c>
      <c r="K91" s="2" t="b">
        <v>1</v>
      </c>
    </row>
    <row r="92" spans="1:11" x14ac:dyDescent="0.35">
      <c r="A92" s="6" t="s">
        <v>24</v>
      </c>
      <c r="B92" t="s">
        <v>6</v>
      </c>
      <c r="C92">
        <v>2.089313715208398</v>
      </c>
      <c r="D92">
        <v>39.933641238758909</v>
      </c>
      <c r="E92" t="b">
        <v>0</v>
      </c>
      <c r="F92" s="6" t="b">
        <v>0</v>
      </c>
      <c r="G92" s="2" t="b">
        <v>1</v>
      </c>
      <c r="H92" s="2" t="b">
        <v>1</v>
      </c>
      <c r="I92" s="2" t="b">
        <v>1</v>
      </c>
      <c r="J92" s="2" t="b">
        <v>1</v>
      </c>
      <c r="K92" s="2" t="b">
        <v>1</v>
      </c>
    </row>
    <row r="93" spans="1:11" x14ac:dyDescent="0.35">
      <c r="A93" s="6" t="s">
        <v>24</v>
      </c>
      <c r="B93" t="s">
        <v>14</v>
      </c>
      <c r="C93">
        <v>2.089313715208398</v>
      </c>
      <c r="D93">
        <v>39.958019829167817</v>
      </c>
      <c r="E93" t="b">
        <v>0</v>
      </c>
      <c r="F93" s="6" t="b">
        <v>0</v>
      </c>
      <c r="G93" s="2" t="b">
        <v>1</v>
      </c>
      <c r="H93" s="2" t="b">
        <v>1</v>
      </c>
      <c r="I93" s="2" t="b">
        <v>1</v>
      </c>
      <c r="J93" s="2" t="b">
        <v>1</v>
      </c>
      <c r="K93" s="2" t="b">
        <v>1</v>
      </c>
    </row>
    <row r="94" spans="1:11" x14ac:dyDescent="0.35">
      <c r="A94" s="8" t="s">
        <v>26</v>
      </c>
      <c r="B94" t="s">
        <v>12</v>
      </c>
      <c r="C94">
        <v>6.9107731320791288E-2</v>
      </c>
      <c r="D94">
        <v>40.129656025454075</v>
      </c>
      <c r="E94" t="b">
        <v>0</v>
      </c>
      <c r="F94" s="1" t="b">
        <v>0</v>
      </c>
      <c r="G94" s="1" t="b">
        <v>0</v>
      </c>
      <c r="H94" s="1" t="b">
        <v>0</v>
      </c>
      <c r="I94" s="1" t="b">
        <v>0</v>
      </c>
      <c r="J94" s="1" t="b">
        <v>0</v>
      </c>
      <c r="K94" s="1" t="b">
        <v>0</v>
      </c>
    </row>
    <row r="95" spans="1:11" x14ac:dyDescent="0.35">
      <c r="A95" t="s">
        <v>26</v>
      </c>
      <c r="B95" t="s">
        <v>8</v>
      </c>
      <c r="C95">
        <v>6.9107731320791288E-2</v>
      </c>
      <c r="D95">
        <v>40.145833171463458</v>
      </c>
      <c r="E95" t="b">
        <v>0</v>
      </c>
      <c r="F95" s="2" t="b">
        <v>0</v>
      </c>
      <c r="G95" s="2" t="b">
        <v>0</v>
      </c>
      <c r="H95" s="2" t="b">
        <v>0</v>
      </c>
      <c r="I95" s="2" t="b">
        <v>0</v>
      </c>
      <c r="J95" s="2" t="b">
        <v>0</v>
      </c>
      <c r="K95" s="2" t="b">
        <v>0</v>
      </c>
    </row>
    <row r="96" spans="1:11" x14ac:dyDescent="0.35">
      <c r="A96" t="s">
        <v>26</v>
      </c>
      <c r="B96" t="s">
        <v>14</v>
      </c>
      <c r="C96">
        <v>6.9107731320791288E-2</v>
      </c>
      <c r="D96">
        <v>40.162021071193585</v>
      </c>
      <c r="E96" t="b">
        <v>0</v>
      </c>
      <c r="F96" s="2" t="b">
        <v>0</v>
      </c>
      <c r="G96" s="2" t="b">
        <v>0</v>
      </c>
      <c r="H96" s="2" t="b">
        <v>0</v>
      </c>
      <c r="I96" s="2" t="b">
        <v>0</v>
      </c>
      <c r="J96" s="2" t="b">
        <v>0</v>
      </c>
      <c r="K96" s="2" t="b">
        <v>0</v>
      </c>
    </row>
    <row r="97" spans="1:11" x14ac:dyDescent="0.35">
      <c r="A97" t="s">
        <v>26</v>
      </c>
      <c r="B97" t="s">
        <v>11</v>
      </c>
      <c r="C97">
        <v>6.9107731320791288E-2</v>
      </c>
      <c r="D97">
        <v>40.163328896542708</v>
      </c>
      <c r="E97" t="b">
        <v>0</v>
      </c>
      <c r="F97" s="2" t="b">
        <v>0</v>
      </c>
      <c r="G97" s="2" t="b">
        <v>0</v>
      </c>
      <c r="H97" s="2" t="b">
        <v>0</v>
      </c>
      <c r="I97" s="2" t="b">
        <v>0</v>
      </c>
      <c r="J97" s="2" t="b">
        <v>0</v>
      </c>
      <c r="K97" s="2" t="b">
        <v>0</v>
      </c>
    </row>
    <row r="98" spans="1:11" x14ac:dyDescent="0.35">
      <c r="A98" t="s">
        <v>26</v>
      </c>
      <c r="B98" t="s">
        <v>9</v>
      </c>
      <c r="C98">
        <v>6.9107731320791288E-2</v>
      </c>
      <c r="D98">
        <v>40.170623015461061</v>
      </c>
      <c r="E98" t="b">
        <v>0</v>
      </c>
      <c r="F98" s="2" t="b">
        <v>0</v>
      </c>
      <c r="G98" s="2" t="b">
        <v>0</v>
      </c>
      <c r="H98" s="2" t="b">
        <v>0</v>
      </c>
      <c r="I98" s="2" t="b">
        <v>0</v>
      </c>
      <c r="J98" s="2" t="b">
        <v>0</v>
      </c>
      <c r="K98" s="2" t="b">
        <v>0</v>
      </c>
    </row>
    <row r="99" spans="1:11" x14ac:dyDescent="0.35">
      <c r="A99" t="s">
        <v>26</v>
      </c>
      <c r="B99" t="s">
        <v>7</v>
      </c>
      <c r="C99">
        <v>6.9107731320791288E-2</v>
      </c>
      <c r="D99">
        <v>40.17364891713968</v>
      </c>
      <c r="E99" t="b">
        <v>0</v>
      </c>
      <c r="F99" s="2" t="b">
        <v>0</v>
      </c>
      <c r="G99" s="2" t="b">
        <v>0</v>
      </c>
      <c r="H99" s="2" t="b">
        <v>0</v>
      </c>
      <c r="I99" s="2" t="b">
        <v>0</v>
      </c>
      <c r="J99" s="2" t="b">
        <v>0</v>
      </c>
      <c r="K99" s="2" t="b">
        <v>0</v>
      </c>
    </row>
    <row r="100" spans="1:11" x14ac:dyDescent="0.35">
      <c r="A100" t="s">
        <v>26</v>
      </c>
      <c r="B100" t="s">
        <v>6</v>
      </c>
      <c r="C100">
        <v>6.9107731320791288E-2</v>
      </c>
      <c r="D100">
        <v>40.198763756774866</v>
      </c>
      <c r="E100" t="b">
        <v>0</v>
      </c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  <c r="K100" s="2" t="b">
        <v>0</v>
      </c>
    </row>
    <row r="101" spans="1:11" x14ac:dyDescent="0.35">
      <c r="A101" s="8" t="s">
        <v>27</v>
      </c>
      <c r="B101" t="s">
        <v>14</v>
      </c>
      <c r="C101">
        <v>0.40430917847839254</v>
      </c>
      <c r="D101">
        <v>42.534428701046672</v>
      </c>
      <c r="E101" t="b">
        <v>0</v>
      </c>
      <c r="F101" s="1" t="b">
        <v>0</v>
      </c>
      <c r="G101" s="1" t="b">
        <v>0</v>
      </c>
      <c r="H101" s="1" t="b">
        <v>0</v>
      </c>
      <c r="I101" s="1" t="b">
        <v>0</v>
      </c>
      <c r="J101" s="1" t="b">
        <v>0</v>
      </c>
      <c r="K101" s="1" t="b">
        <v>0</v>
      </c>
    </row>
    <row r="102" spans="1:11" x14ac:dyDescent="0.35">
      <c r="A102" t="s">
        <v>27</v>
      </c>
      <c r="B102" t="s">
        <v>8</v>
      </c>
      <c r="C102">
        <v>0.40430917847839254</v>
      </c>
      <c r="D102">
        <v>42.711315893078179</v>
      </c>
      <c r="E102" t="b">
        <v>0</v>
      </c>
      <c r="F102" s="2" t="b">
        <v>0</v>
      </c>
      <c r="G102" s="2" t="b">
        <v>0</v>
      </c>
      <c r="H102" s="2" t="b">
        <v>0</v>
      </c>
      <c r="I102" s="2" t="b">
        <v>0</v>
      </c>
      <c r="J102" s="2" t="b">
        <v>0</v>
      </c>
      <c r="K102" s="2" t="b">
        <v>0</v>
      </c>
    </row>
    <row r="103" spans="1:11" x14ac:dyDescent="0.35">
      <c r="A103" t="s">
        <v>27</v>
      </c>
      <c r="B103" t="s">
        <v>6</v>
      </c>
      <c r="C103">
        <v>0.40430917847839254</v>
      </c>
      <c r="D103">
        <v>42.728162135911631</v>
      </c>
      <c r="E103" t="b">
        <v>0</v>
      </c>
      <c r="F103" s="2" t="b">
        <v>0</v>
      </c>
      <c r="G103" s="2" t="b">
        <v>0</v>
      </c>
      <c r="H103" s="2" t="b">
        <v>0</v>
      </c>
      <c r="I103" s="2" t="b">
        <v>0</v>
      </c>
      <c r="J103" s="2" t="b">
        <v>0</v>
      </c>
      <c r="K103" s="2" t="b">
        <v>0</v>
      </c>
    </row>
    <row r="104" spans="1:11" x14ac:dyDescent="0.35">
      <c r="A104" t="s">
        <v>27</v>
      </c>
      <c r="B104" t="s">
        <v>7</v>
      </c>
      <c r="C104">
        <v>0.40430917847839254</v>
      </c>
      <c r="D104">
        <v>42.728162135911631</v>
      </c>
      <c r="E104" t="b">
        <v>0</v>
      </c>
      <c r="F104" s="2" t="b">
        <v>0</v>
      </c>
      <c r="G104" s="2" t="b">
        <v>0</v>
      </c>
      <c r="H104" s="2" t="b">
        <v>0</v>
      </c>
      <c r="I104" s="2" t="b">
        <v>0</v>
      </c>
      <c r="J104" s="2" t="b">
        <v>0</v>
      </c>
      <c r="K104" s="2" t="b">
        <v>0</v>
      </c>
    </row>
    <row r="105" spans="1:11" x14ac:dyDescent="0.35">
      <c r="A105" t="s">
        <v>27</v>
      </c>
      <c r="B105" t="s">
        <v>9</v>
      </c>
      <c r="C105">
        <v>0.40430917847839254</v>
      </c>
      <c r="D105">
        <v>42.833450537997194</v>
      </c>
      <c r="E105" t="b">
        <v>0</v>
      </c>
      <c r="F105" s="2" t="b">
        <v>0</v>
      </c>
      <c r="G105" s="2" t="b">
        <v>0</v>
      </c>
      <c r="H105" s="2" t="b">
        <v>0</v>
      </c>
      <c r="I105" s="2" t="b">
        <v>0</v>
      </c>
      <c r="J105" s="2" t="b">
        <v>0</v>
      </c>
      <c r="K105" s="2" t="b">
        <v>0</v>
      </c>
    </row>
    <row r="106" spans="1:11" x14ac:dyDescent="0.35">
      <c r="A106" t="s">
        <v>27</v>
      </c>
      <c r="B106" t="s">
        <v>11</v>
      </c>
      <c r="C106">
        <v>0.40430917847839254</v>
      </c>
      <c r="D106">
        <v>42.833450537997194</v>
      </c>
      <c r="E106" t="b">
        <v>0</v>
      </c>
      <c r="F106" s="2" t="b">
        <v>0</v>
      </c>
      <c r="G106" s="2" t="b">
        <v>0</v>
      </c>
      <c r="H106" s="2" t="b">
        <v>0</v>
      </c>
      <c r="I106" s="2" t="b">
        <v>0</v>
      </c>
      <c r="J106" s="2" t="b">
        <v>0</v>
      </c>
      <c r="K106" s="2" t="b">
        <v>0</v>
      </c>
    </row>
    <row r="107" spans="1:11" x14ac:dyDescent="0.35">
      <c r="A107" t="s">
        <v>27</v>
      </c>
      <c r="B107" t="s">
        <v>12</v>
      </c>
      <c r="C107">
        <v>0.40430917847839254</v>
      </c>
      <c r="D107">
        <v>42.938737879525064</v>
      </c>
      <c r="E107" t="b">
        <v>0</v>
      </c>
      <c r="F107" s="2" t="b">
        <v>0</v>
      </c>
      <c r="G107" s="2" t="b">
        <v>0</v>
      </c>
      <c r="H107" s="2" t="b">
        <v>0</v>
      </c>
      <c r="I107" s="2" t="b">
        <v>0</v>
      </c>
      <c r="J107" s="2" t="b">
        <v>0</v>
      </c>
      <c r="K107" s="2" t="b">
        <v>0</v>
      </c>
    </row>
    <row r="108" spans="1:11" x14ac:dyDescent="0.35">
      <c r="A108" s="6" t="s">
        <v>25</v>
      </c>
      <c r="B108" t="s">
        <v>14</v>
      </c>
      <c r="C108">
        <v>5.440613761347123</v>
      </c>
      <c r="D108">
        <v>43.037552396657858</v>
      </c>
      <c r="E108" t="b">
        <v>0</v>
      </c>
      <c r="F108" s="6" t="b">
        <v>0</v>
      </c>
      <c r="G108" s="6" t="b">
        <f>IF(C108&gt;5,E108,"-")</f>
        <v>0</v>
      </c>
      <c r="H108" s="2" t="b">
        <v>0</v>
      </c>
      <c r="I108" s="2" t="b">
        <v>0</v>
      </c>
      <c r="J108" s="2" t="b">
        <v>0</v>
      </c>
      <c r="K108" s="2" t="b">
        <v>0</v>
      </c>
    </row>
    <row r="109" spans="1:11" x14ac:dyDescent="0.35">
      <c r="A109" s="6" t="s">
        <v>25</v>
      </c>
      <c r="B109" t="s">
        <v>12</v>
      </c>
      <c r="C109">
        <v>5.440613761347123</v>
      </c>
      <c r="D109">
        <v>43.568877088224845</v>
      </c>
      <c r="E109" t="b">
        <v>0</v>
      </c>
      <c r="F109" s="6" t="b">
        <v>0</v>
      </c>
      <c r="G109" s="6" t="b">
        <f t="shared" ref="G109:G112" si="8">IF(C109&gt;5,E109,"-")</f>
        <v>0</v>
      </c>
      <c r="H109" s="2" t="b">
        <v>0</v>
      </c>
      <c r="I109" s="2" t="b">
        <v>0</v>
      </c>
      <c r="J109" s="2" t="b">
        <v>0</v>
      </c>
      <c r="K109" s="2" t="b">
        <v>0</v>
      </c>
    </row>
    <row r="110" spans="1:11" x14ac:dyDescent="0.35">
      <c r="A110" s="6" t="s">
        <v>25</v>
      </c>
      <c r="B110" t="s">
        <v>6</v>
      </c>
      <c r="C110">
        <v>5.440613761347123</v>
      </c>
      <c r="D110">
        <v>43.668292538098775</v>
      </c>
      <c r="E110" t="b">
        <v>0</v>
      </c>
      <c r="F110" s="6" t="b">
        <v>0</v>
      </c>
      <c r="G110" s="6" t="b">
        <f t="shared" si="8"/>
        <v>0</v>
      </c>
      <c r="H110" s="2" t="b">
        <v>0</v>
      </c>
      <c r="I110" s="2" t="b">
        <v>0</v>
      </c>
      <c r="J110" s="2" t="b">
        <v>0</v>
      </c>
      <c r="K110" s="2" t="b">
        <v>0</v>
      </c>
    </row>
    <row r="111" spans="1:11" x14ac:dyDescent="0.35">
      <c r="A111" s="6" t="s">
        <v>25</v>
      </c>
      <c r="B111" t="s">
        <v>11</v>
      </c>
      <c r="C111">
        <v>5.440613761347123</v>
      </c>
      <c r="D111">
        <v>43.77004414281123</v>
      </c>
      <c r="E111" t="b">
        <v>0</v>
      </c>
      <c r="F111" s="6" t="b">
        <v>0</v>
      </c>
      <c r="G111" s="6" t="b">
        <f t="shared" si="8"/>
        <v>0</v>
      </c>
      <c r="H111" s="2" t="b">
        <v>0</v>
      </c>
      <c r="I111" s="2" t="b">
        <v>0</v>
      </c>
      <c r="J111" s="2" t="b">
        <v>0</v>
      </c>
      <c r="K111" s="2" t="b">
        <v>0</v>
      </c>
    </row>
    <row r="112" spans="1:11" x14ac:dyDescent="0.35">
      <c r="A112" s="6" t="s">
        <v>25</v>
      </c>
      <c r="B112" t="s">
        <v>7</v>
      </c>
      <c r="C112">
        <v>5.440613761347123</v>
      </c>
      <c r="D112">
        <v>44.878457488199906</v>
      </c>
      <c r="E112" t="b">
        <v>0</v>
      </c>
      <c r="F112" s="6" t="b">
        <v>0</v>
      </c>
      <c r="G112" s="6" t="b">
        <f t="shared" si="8"/>
        <v>0</v>
      </c>
      <c r="H112" s="2" t="b">
        <v>0</v>
      </c>
      <c r="I112" s="2" t="b">
        <v>0</v>
      </c>
      <c r="J112" s="2" t="b">
        <v>0</v>
      </c>
      <c r="K112" s="2" t="b">
        <v>0</v>
      </c>
    </row>
    <row r="113" spans="1:11" x14ac:dyDescent="0.35">
      <c r="A113" s="8" t="s">
        <v>28</v>
      </c>
      <c r="B113" t="s">
        <v>6</v>
      </c>
      <c r="C113">
        <v>0.80508067595705057</v>
      </c>
      <c r="D113">
        <v>45.132906243688396</v>
      </c>
      <c r="E113" t="b">
        <v>0</v>
      </c>
      <c r="F113" s="1" t="b">
        <v>0</v>
      </c>
      <c r="G113" s="1" t="b">
        <v>0</v>
      </c>
      <c r="H113" s="1" t="b">
        <v>0</v>
      </c>
      <c r="I113" s="1" t="b">
        <v>0</v>
      </c>
      <c r="J113" s="1" t="b">
        <v>0</v>
      </c>
      <c r="K113" s="1" t="b">
        <v>0</v>
      </c>
    </row>
    <row r="114" spans="1:11" x14ac:dyDescent="0.35">
      <c r="A114" s="6" t="s">
        <v>25</v>
      </c>
      <c r="B114" t="s">
        <v>9</v>
      </c>
      <c r="C114">
        <v>5.440613761347123</v>
      </c>
      <c r="D114">
        <v>45.267474773366743</v>
      </c>
      <c r="E114" t="b">
        <v>0</v>
      </c>
      <c r="F114" s="6" t="b">
        <v>0</v>
      </c>
      <c r="G114" s="6" t="b">
        <f>IF(C114&gt;5,E114,"-")</f>
        <v>0</v>
      </c>
      <c r="H114" s="2" t="b">
        <v>0</v>
      </c>
      <c r="I114" s="2" t="b">
        <v>0</v>
      </c>
      <c r="J114" s="2" t="b">
        <v>0</v>
      </c>
      <c r="K114" s="2" t="b">
        <v>0</v>
      </c>
    </row>
    <row r="115" spans="1:11" x14ac:dyDescent="0.35">
      <c r="A115" t="s">
        <v>28</v>
      </c>
      <c r="B115" t="s">
        <v>9</v>
      </c>
      <c r="C115">
        <v>0.80508067595705057</v>
      </c>
      <c r="D115">
        <v>45.504827445053266</v>
      </c>
      <c r="E115" t="b">
        <v>0</v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  <c r="K115" s="2" t="b">
        <v>0</v>
      </c>
    </row>
    <row r="116" spans="1:11" x14ac:dyDescent="0.35">
      <c r="A116" t="s">
        <v>28</v>
      </c>
      <c r="B116" t="s">
        <v>12</v>
      </c>
      <c r="C116">
        <v>0.80508067595705057</v>
      </c>
      <c r="D116">
        <v>45.56451133659764</v>
      </c>
      <c r="E116" t="b">
        <v>0</v>
      </c>
      <c r="F116" s="2" t="b">
        <v>0</v>
      </c>
      <c r="G116" s="2" t="b">
        <v>0</v>
      </c>
      <c r="H116" s="2" t="b">
        <v>0</v>
      </c>
      <c r="I116" s="2" t="b">
        <v>0</v>
      </c>
      <c r="J116" s="2" t="b">
        <v>0</v>
      </c>
      <c r="K116" s="2" t="b">
        <v>0</v>
      </c>
    </row>
    <row r="117" spans="1:11" x14ac:dyDescent="0.35">
      <c r="A117" t="s">
        <v>28</v>
      </c>
      <c r="B117" t="s">
        <v>8</v>
      </c>
      <c r="C117">
        <v>0.80508067595705057</v>
      </c>
      <c r="D117">
        <v>45.652237716838542</v>
      </c>
      <c r="E117" t="b">
        <v>0</v>
      </c>
      <c r="F117" s="2" t="b">
        <v>0</v>
      </c>
      <c r="G117" s="2" t="b">
        <v>0</v>
      </c>
      <c r="H117" s="2" t="b">
        <v>0</v>
      </c>
      <c r="I117" s="2" t="b">
        <v>0</v>
      </c>
      <c r="J117" s="2" t="b">
        <v>0</v>
      </c>
      <c r="K117" s="2" t="b">
        <v>0</v>
      </c>
    </row>
    <row r="118" spans="1:11" x14ac:dyDescent="0.35">
      <c r="A118" t="s">
        <v>28</v>
      </c>
      <c r="B118" t="s">
        <v>7</v>
      </c>
      <c r="C118">
        <v>0.80508067595705057</v>
      </c>
      <c r="D118">
        <v>45.663954626641214</v>
      </c>
      <c r="E118" t="b">
        <v>0</v>
      </c>
      <c r="F118" s="2" t="b">
        <v>0</v>
      </c>
      <c r="G118" s="2" t="b">
        <v>0</v>
      </c>
      <c r="H118" s="2" t="b">
        <v>0</v>
      </c>
      <c r="I118" s="2" t="b">
        <v>0</v>
      </c>
      <c r="J118" s="2" t="b">
        <v>0</v>
      </c>
      <c r="K118" s="2" t="b">
        <v>0</v>
      </c>
    </row>
    <row r="119" spans="1:11" x14ac:dyDescent="0.35">
      <c r="A119" t="s">
        <v>28</v>
      </c>
      <c r="B119" t="s">
        <v>14</v>
      </c>
      <c r="C119">
        <v>0.80508067595705057</v>
      </c>
      <c r="D119">
        <v>45.677786785943681</v>
      </c>
      <c r="E119" t="b">
        <v>0</v>
      </c>
      <c r="F119" s="2" t="b">
        <v>0</v>
      </c>
      <c r="G119" s="2" t="b">
        <v>0</v>
      </c>
      <c r="H119" s="2" t="b">
        <v>0</v>
      </c>
      <c r="I119" s="2" t="b">
        <v>0</v>
      </c>
      <c r="J119" s="2" t="b">
        <v>0</v>
      </c>
      <c r="K119" s="2" t="b">
        <v>0</v>
      </c>
    </row>
    <row r="120" spans="1:11" x14ac:dyDescent="0.35">
      <c r="A120" t="s">
        <v>28</v>
      </c>
      <c r="B120" t="s">
        <v>11</v>
      </c>
      <c r="C120">
        <v>0.80508067595705057</v>
      </c>
      <c r="D120">
        <v>45.937986919645446</v>
      </c>
      <c r="E120" t="b">
        <v>0</v>
      </c>
      <c r="F120" s="2" t="b">
        <v>0</v>
      </c>
      <c r="G120" s="2" t="b">
        <v>0</v>
      </c>
      <c r="H120" s="2" t="b">
        <v>0</v>
      </c>
      <c r="I120" s="2" t="b">
        <v>0</v>
      </c>
      <c r="J120" s="2" t="b">
        <v>0</v>
      </c>
      <c r="K120" s="2" t="b">
        <v>0</v>
      </c>
    </row>
    <row r="121" spans="1:11" x14ac:dyDescent="0.35">
      <c r="A121" s="8" t="s">
        <v>29</v>
      </c>
      <c r="B121" t="s">
        <v>6</v>
      </c>
      <c r="C121">
        <v>0.98778925113909111</v>
      </c>
      <c r="D121">
        <v>49.545376555653938</v>
      </c>
      <c r="E121" t="b">
        <v>0</v>
      </c>
      <c r="F121" s="1" t="b">
        <v>0</v>
      </c>
      <c r="G121" s="1" t="b">
        <v>0</v>
      </c>
      <c r="H121" s="1" t="b">
        <v>0</v>
      </c>
      <c r="I121" s="1" t="b">
        <v>0</v>
      </c>
      <c r="J121" s="1" t="b">
        <v>0</v>
      </c>
      <c r="K121" s="1" t="b">
        <v>0</v>
      </c>
    </row>
    <row r="122" spans="1:11" x14ac:dyDescent="0.35">
      <c r="A122" t="s">
        <v>29</v>
      </c>
      <c r="B122" t="s">
        <v>8</v>
      </c>
      <c r="C122">
        <v>0.98778925113909111</v>
      </c>
      <c r="D122">
        <v>49.802777927196701</v>
      </c>
      <c r="E122" t="b">
        <v>0</v>
      </c>
      <c r="F122" s="2" t="b">
        <v>0</v>
      </c>
      <c r="G122" s="2" t="b">
        <v>0</v>
      </c>
      <c r="H122" s="2" t="b">
        <v>0</v>
      </c>
      <c r="I122" s="2" t="b">
        <v>0</v>
      </c>
      <c r="J122" s="2" t="b">
        <v>0</v>
      </c>
      <c r="K122" s="2" t="b">
        <v>0</v>
      </c>
    </row>
    <row r="123" spans="1:11" x14ac:dyDescent="0.35">
      <c r="A123" t="s">
        <v>29</v>
      </c>
      <c r="B123" t="s">
        <v>14</v>
      </c>
      <c r="C123">
        <v>0.98778925113909111</v>
      </c>
      <c r="D123">
        <v>49.822874350175752</v>
      </c>
      <c r="E123" t="b">
        <v>0</v>
      </c>
      <c r="F123" s="2" t="b">
        <v>0</v>
      </c>
      <c r="G123" s="2" t="b">
        <v>0</v>
      </c>
      <c r="H123" s="2" t="b">
        <v>0</v>
      </c>
      <c r="I123" s="2" t="b">
        <v>0</v>
      </c>
      <c r="J123" s="2" t="b">
        <v>0</v>
      </c>
      <c r="K123" s="2" t="b">
        <v>0</v>
      </c>
    </row>
    <row r="124" spans="1:11" x14ac:dyDescent="0.35">
      <c r="A124" t="s">
        <v>29</v>
      </c>
      <c r="B124" t="s">
        <v>11</v>
      </c>
      <c r="C124">
        <v>0.98778925113909111</v>
      </c>
      <c r="D124">
        <v>49.938219351809281</v>
      </c>
      <c r="E124" t="b">
        <v>0</v>
      </c>
      <c r="F124" s="2" t="b">
        <v>0</v>
      </c>
      <c r="G124" s="2" t="b">
        <v>0</v>
      </c>
      <c r="H124" s="2" t="b">
        <v>0</v>
      </c>
      <c r="I124" s="2" t="b">
        <v>0</v>
      </c>
      <c r="J124" s="2" t="b">
        <v>0</v>
      </c>
      <c r="K124" s="2" t="b">
        <v>0</v>
      </c>
    </row>
    <row r="125" spans="1:11" x14ac:dyDescent="0.35">
      <c r="A125" t="s">
        <v>29</v>
      </c>
      <c r="B125" t="s">
        <v>12</v>
      </c>
      <c r="C125">
        <v>0.98778925113909111</v>
      </c>
      <c r="D125">
        <v>50.198912485855551</v>
      </c>
      <c r="E125" t="b">
        <v>0</v>
      </c>
      <c r="F125" s="2" t="b">
        <v>0</v>
      </c>
      <c r="G125" s="2" t="b">
        <v>0</v>
      </c>
      <c r="H125" s="2" t="b">
        <v>0</v>
      </c>
      <c r="I125" s="2" t="b">
        <v>0</v>
      </c>
      <c r="J125" s="2" t="b">
        <v>0</v>
      </c>
      <c r="K125" s="2" t="b">
        <v>0</v>
      </c>
    </row>
    <row r="126" spans="1:11" x14ac:dyDescent="0.35">
      <c r="A126" t="s">
        <v>29</v>
      </c>
      <c r="B126" t="s">
        <v>7</v>
      </c>
      <c r="C126">
        <v>0.98778925113909111</v>
      </c>
      <c r="D126">
        <v>50.530793849331033</v>
      </c>
      <c r="E126" t="b">
        <v>0</v>
      </c>
      <c r="F126" s="2" t="b">
        <v>0</v>
      </c>
      <c r="G126" s="2" t="b">
        <v>0</v>
      </c>
      <c r="H126" s="2" t="b">
        <v>0</v>
      </c>
      <c r="I126" s="2" t="b">
        <v>0</v>
      </c>
      <c r="J126" s="2" t="b">
        <v>0</v>
      </c>
      <c r="K126" s="2" t="b">
        <v>0</v>
      </c>
    </row>
    <row r="127" spans="1:11" x14ac:dyDescent="0.35">
      <c r="A127" t="s">
        <v>29</v>
      </c>
      <c r="B127" t="s">
        <v>9</v>
      </c>
      <c r="C127">
        <v>0.98778925113909111</v>
      </c>
      <c r="D127">
        <v>50.533165806793029</v>
      </c>
      <c r="E127" t="b">
        <v>0</v>
      </c>
      <c r="F127" s="2" t="b">
        <v>0</v>
      </c>
      <c r="G127" s="2" t="b">
        <v>0</v>
      </c>
      <c r="H127" s="2" t="b">
        <v>0</v>
      </c>
      <c r="I127" s="2" t="b">
        <v>0</v>
      </c>
      <c r="J127" s="2" t="b">
        <v>0</v>
      </c>
      <c r="K127" s="2" t="b">
        <v>0</v>
      </c>
    </row>
    <row r="128" spans="1:11" x14ac:dyDescent="0.35">
      <c r="A128" s="6" t="s">
        <v>30</v>
      </c>
      <c r="B128" t="s">
        <v>9</v>
      </c>
      <c r="C128">
        <v>7.0577567757510309</v>
      </c>
      <c r="D128">
        <v>55.86172639574464</v>
      </c>
      <c r="E128" t="b">
        <v>0</v>
      </c>
      <c r="F128" s="6" t="b">
        <v>0</v>
      </c>
      <c r="G128" s="6" t="b">
        <f>IF(C128&gt;5,E128,"-")</f>
        <v>0</v>
      </c>
      <c r="H128" s="1" t="b">
        <v>0</v>
      </c>
      <c r="I128" s="1" t="b">
        <v>0</v>
      </c>
      <c r="J128" s="1" t="b">
        <v>0</v>
      </c>
      <c r="K128" s="1" t="b">
        <v>0</v>
      </c>
    </row>
    <row r="129" spans="1:13" x14ac:dyDescent="0.35">
      <c r="A129" s="6" t="s">
        <v>30</v>
      </c>
      <c r="B129" t="s">
        <v>8</v>
      </c>
      <c r="C129">
        <v>7.0577567757510309</v>
      </c>
      <c r="D129">
        <v>58.150662596863185</v>
      </c>
      <c r="E129" t="b">
        <v>0</v>
      </c>
      <c r="F129" s="6" t="b">
        <v>0</v>
      </c>
      <c r="G129" s="6" t="b">
        <f t="shared" ref="G129:G134" si="9">IF(C129&gt;5,E129,"-")</f>
        <v>0</v>
      </c>
      <c r="H129" s="2" t="b">
        <v>0</v>
      </c>
      <c r="I129" s="2" t="b">
        <v>0</v>
      </c>
      <c r="J129" s="2" t="b">
        <v>0</v>
      </c>
      <c r="K129" s="2" t="b">
        <v>0</v>
      </c>
    </row>
    <row r="130" spans="1:13" x14ac:dyDescent="0.35">
      <c r="A130" s="6" t="s">
        <v>30</v>
      </c>
      <c r="B130" t="s">
        <v>14</v>
      </c>
      <c r="C130">
        <v>7.0577567757510309</v>
      </c>
      <c r="D130">
        <v>58.246627139403174</v>
      </c>
      <c r="E130" t="b">
        <v>0</v>
      </c>
      <c r="F130" s="6" t="b">
        <v>0</v>
      </c>
      <c r="G130" s="6" t="b">
        <f t="shared" si="9"/>
        <v>0</v>
      </c>
      <c r="H130" s="2" t="b">
        <v>0</v>
      </c>
      <c r="I130" s="2" t="b">
        <v>0</v>
      </c>
      <c r="J130" s="2" t="b">
        <v>0</v>
      </c>
      <c r="K130" s="2" t="b">
        <v>0</v>
      </c>
    </row>
    <row r="131" spans="1:13" x14ac:dyDescent="0.35">
      <c r="A131" s="6" t="s">
        <v>30</v>
      </c>
      <c r="B131" t="s">
        <v>6</v>
      </c>
      <c r="C131">
        <v>7.0577567757510309</v>
      </c>
      <c r="D131">
        <v>62.398849353253624</v>
      </c>
      <c r="E131" t="b">
        <v>0</v>
      </c>
      <c r="F131" s="6" t="b">
        <v>0</v>
      </c>
      <c r="G131" s="6" t="b">
        <f t="shared" si="9"/>
        <v>0</v>
      </c>
      <c r="H131" s="2" t="b">
        <v>0</v>
      </c>
      <c r="I131" s="2" t="b">
        <v>0</v>
      </c>
      <c r="J131" s="2" t="b">
        <v>0</v>
      </c>
      <c r="K131" s="2" t="b">
        <v>0</v>
      </c>
    </row>
    <row r="132" spans="1:13" x14ac:dyDescent="0.35">
      <c r="A132" s="6" t="s">
        <v>30</v>
      </c>
      <c r="B132" t="s">
        <v>12</v>
      </c>
      <c r="C132">
        <v>7.0577567757510309</v>
      </c>
      <c r="D132">
        <v>62.855464361409005</v>
      </c>
      <c r="E132" t="b">
        <v>0</v>
      </c>
      <c r="F132" s="6" t="b">
        <v>0</v>
      </c>
      <c r="G132" s="6" t="b">
        <f t="shared" si="9"/>
        <v>0</v>
      </c>
      <c r="H132" s="2" t="b">
        <v>0</v>
      </c>
      <c r="I132" s="2" t="b">
        <v>0</v>
      </c>
      <c r="J132" s="2" t="b">
        <v>0</v>
      </c>
      <c r="K132" s="2" t="b">
        <v>0</v>
      </c>
    </row>
    <row r="133" spans="1:13" x14ac:dyDescent="0.35">
      <c r="A133" s="6" t="s">
        <v>30</v>
      </c>
      <c r="B133" t="s">
        <v>11</v>
      </c>
      <c r="C133">
        <v>7.0577567757510309</v>
      </c>
      <c r="D133">
        <v>62.870005655952497</v>
      </c>
      <c r="E133" t="b">
        <v>0</v>
      </c>
      <c r="F133" s="6" t="b">
        <v>0</v>
      </c>
      <c r="G133" s="6" t="b">
        <f t="shared" si="9"/>
        <v>0</v>
      </c>
      <c r="H133" s="2" t="b">
        <v>0</v>
      </c>
      <c r="I133" s="2" t="b">
        <v>0</v>
      </c>
      <c r="J133" s="2" t="b">
        <v>0</v>
      </c>
      <c r="K133" s="2" t="b">
        <v>0</v>
      </c>
    </row>
    <row r="134" spans="1:13" x14ac:dyDescent="0.35">
      <c r="A134" s="6" t="s">
        <v>30</v>
      </c>
      <c r="B134" t="s">
        <v>7</v>
      </c>
      <c r="C134">
        <v>7.0577567757510309</v>
      </c>
      <c r="D134">
        <v>62.919483171495671</v>
      </c>
      <c r="E134" t="b">
        <v>0</v>
      </c>
      <c r="F134" s="6" t="b">
        <v>0</v>
      </c>
      <c r="G134" s="6" t="b">
        <f t="shared" si="9"/>
        <v>0</v>
      </c>
      <c r="H134" s="2" t="b">
        <v>0</v>
      </c>
      <c r="I134" s="2" t="b">
        <v>0</v>
      </c>
      <c r="J134" s="2" t="b">
        <v>0</v>
      </c>
      <c r="K134" s="2" t="b">
        <v>0</v>
      </c>
    </row>
    <row r="135" spans="1:13" x14ac:dyDescent="0.35">
      <c r="F135" cm="1">
        <f t="array" ref="F135">SUM(--(E2:E134=F2:F134))</f>
        <v>133</v>
      </c>
      <c r="G135" cm="1">
        <f t="array" ref="G135">SUM(--(E2:E134=G2:G134))</f>
        <v>127</v>
      </c>
      <c r="H135" cm="1">
        <f t="array" ref="H135">SUM(--(E2:E134=H2:H134))</f>
        <v>126</v>
      </c>
      <c r="I135" cm="1">
        <f t="array" ref="I135">SUM(--(E2:E134=I2:I134))</f>
        <v>126</v>
      </c>
      <c r="J135" cm="1">
        <f t="array" ref="J135">SUM(--(E2:E134=J2:J134))</f>
        <v>126</v>
      </c>
      <c r="K135" cm="1">
        <f t="array" ref="K135">SUM(--(E2:E134=K2:K134))</f>
        <v>126</v>
      </c>
    </row>
    <row r="136" spans="1:13" x14ac:dyDescent="0.35">
      <c r="F136">
        <f>COUNTIFS(E2:E134,TRUE,F2:F134,TRUE) / COUNTIF(E2:E134,TRUE)</f>
        <v>1</v>
      </c>
      <c r="G136">
        <f>COUNTIFS(E2:E134,TRUE,G2:G134,TRUE) / COUNTIF(E2:E134,TRUE)</f>
        <v>1</v>
      </c>
      <c r="H136">
        <f>COUNTIFS(E2:E134,TRUE,H2:H134,TRUE) / COUNTIF(E2:E134,TRUE)</f>
        <v>0.95652173913043481</v>
      </c>
      <c r="I136">
        <f>COUNTIFS(E2:E134,TRUE,I2:I134,TRUE) / COUNTIF(E2:E134,TRUE)</f>
        <v>0.95652173913043481</v>
      </c>
      <c r="J136">
        <f>COUNTIFS(E2:E134,TRUE,J2:J134,TRUE) / COUNTIF(E2:E134,TRUE)</f>
        <v>0.95652173913043481</v>
      </c>
      <c r="K136">
        <f>COUNTIFS(E2:E134,TRUE,K2:K134,TRUE) / COUNTIF(E2:E134,TRUE)</f>
        <v>0.95652173913043481</v>
      </c>
      <c r="L136" t="s">
        <v>40</v>
      </c>
      <c r="M136" t="s">
        <v>39</v>
      </c>
    </row>
    <row r="138" spans="1:13" x14ac:dyDescent="0.35">
      <c r="A138" t="s">
        <v>37</v>
      </c>
      <c r="B138">
        <v>100</v>
      </c>
      <c r="C138">
        <v>100</v>
      </c>
      <c r="D138">
        <v>95.48</v>
      </c>
      <c r="E138">
        <v>94.73</v>
      </c>
      <c r="F138">
        <v>94.73</v>
      </c>
      <c r="G138">
        <v>94.73</v>
      </c>
      <c r="H138">
        <v>94.73</v>
      </c>
    </row>
    <row r="139" spans="1:13" x14ac:dyDescent="0.35">
      <c r="A139" t="s">
        <v>38</v>
      </c>
      <c r="B139">
        <v>0</v>
      </c>
      <c r="C139">
        <v>1</v>
      </c>
      <c r="D139">
        <v>5</v>
      </c>
      <c r="E139">
        <v>10</v>
      </c>
      <c r="F139">
        <v>20</v>
      </c>
      <c r="G139">
        <v>30</v>
      </c>
      <c r="H139">
        <v>35</v>
      </c>
    </row>
  </sheetData>
  <autoFilter ref="A1:A134" xr:uid="{4C77B03B-7B8E-4F13-8203-7EB1922DA2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2025-11-10T15:53:36Z</dcterms:created>
  <dcterms:modified xsi:type="dcterms:W3CDTF">2025-11-11T18:59:34Z</dcterms:modified>
</cp:coreProperties>
</file>