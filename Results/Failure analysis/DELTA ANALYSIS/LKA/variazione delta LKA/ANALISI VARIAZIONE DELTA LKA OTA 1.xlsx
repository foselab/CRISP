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\Desktop\RQ2 - FAILURE ANALYSIS\DELTA ANALYSIS\LKA\variazione delta LKA\"/>
    </mc:Choice>
  </mc:AlternateContent>
  <xr:revisionPtr revIDLastSave="0" documentId="13_ncr:1_{7EECA750-1873-4CC6-9CFA-93048C40BDFB}" xr6:coauthVersionLast="47" xr6:coauthVersionMax="47" xr10:uidLastSave="{00000000-0000-0000-0000-000000000000}"/>
  <bookViews>
    <workbookView xWindow="-110" yWindow="-110" windowWidth="21820" windowHeight="13900" xr2:uid="{1C9AC7F5-F72D-4483-8F4A-9D19450C8AFD}"/>
  </bookViews>
  <sheets>
    <sheet name="Foglio1" sheetId="1" r:id="rId1"/>
  </sheets>
  <definedNames>
    <definedName name="_xlnm._FilterDatabase" localSheetId="0" hidden="1">Foglio1!$A$1:$K$92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7" i="1" l="1"/>
  <c r="J97" i="1"/>
  <c r="I97" i="1"/>
  <c r="H97" i="1"/>
  <c r="G97" i="1"/>
  <c r="F97" i="1"/>
  <c r="K96" i="1"/>
  <c r="J96" i="1"/>
  <c r="I96" i="1"/>
  <c r="H96" i="1"/>
  <c r="G96" i="1"/>
  <c r="F96" i="1"/>
  <c r="K94" i="1"/>
  <c r="J94" i="1"/>
  <c r="I94" i="1"/>
  <c r="H94" i="1"/>
  <c r="G94" i="1"/>
  <c r="F94" i="1"/>
  <c r="K93" i="1" a="1"/>
  <c r="K93" i="1" s="1"/>
  <c r="J93" i="1" a="1"/>
  <c r="J93" i="1" s="1"/>
  <c r="I93" i="1" a="1"/>
  <c r="I93" i="1" s="1"/>
  <c r="H93" i="1" a="1"/>
  <c r="H93" i="1" s="1"/>
  <c r="G93" i="1" a="1"/>
  <c r="G93" i="1" s="1"/>
  <c r="F93" i="1" a="1"/>
  <c r="F93" i="1" s="1"/>
  <c r="J1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34" i="1"/>
  <c r="H36" i="1"/>
  <c r="H37" i="1"/>
  <c r="H47" i="1"/>
  <c r="H2" i="1"/>
  <c r="J3" i="1"/>
  <c r="J4" i="1"/>
  <c r="J6" i="1"/>
  <c r="J7" i="1"/>
  <c r="J19" i="1"/>
  <c r="J2" i="1"/>
  <c r="I3" i="1"/>
  <c r="I4" i="1"/>
  <c r="I5" i="1"/>
  <c r="I6" i="1"/>
  <c r="I7" i="1"/>
  <c r="I10" i="1"/>
  <c r="I11" i="1"/>
  <c r="I12" i="1"/>
  <c r="I14" i="1"/>
  <c r="I15" i="1"/>
  <c r="I17" i="1"/>
  <c r="I18" i="1"/>
  <c r="I19" i="1"/>
  <c r="I22" i="1"/>
  <c r="I23" i="1"/>
  <c r="I24" i="1"/>
  <c r="I34" i="1"/>
  <c r="I36" i="1"/>
  <c r="I37" i="1"/>
  <c r="I47" i="1"/>
  <c r="I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4" i="1"/>
  <c r="F35" i="1"/>
  <c r="F36" i="1"/>
  <c r="F37" i="1"/>
  <c r="F46" i="1"/>
  <c r="F47" i="1"/>
  <c r="F49" i="1"/>
  <c r="F58" i="1"/>
  <c r="F59" i="1"/>
  <c r="F60" i="1"/>
  <c r="F61" i="1"/>
  <c r="F62" i="1"/>
  <c r="F68" i="1"/>
  <c r="F71" i="1"/>
  <c r="F72" i="1"/>
  <c r="F73" i="1"/>
  <c r="F79" i="1"/>
  <c r="F82" i="1"/>
  <c r="F83" i="1"/>
  <c r="F84" i="1"/>
  <c r="F85" i="1"/>
  <c r="F86" i="1"/>
  <c r="F87" i="1"/>
  <c r="F88" i="1"/>
  <c r="F89" i="1"/>
  <c r="F90" i="1"/>
  <c r="F91" i="1"/>
  <c r="F92" i="1"/>
  <c r="F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<sst xmlns="http://schemas.openxmlformats.org/spreadsheetml/2006/main" count="196" uniqueCount="34">
  <si>
    <t>Vehicle</t>
  </si>
  <si>
    <t>DELTA</t>
  </si>
  <si>
    <t>FITNESS CONF0</t>
  </si>
  <si>
    <t>FAILURE</t>
  </si>
  <si>
    <t>Colorado.m</t>
  </si>
  <si>
    <t>Camaro.m</t>
  </si>
  <si>
    <t>Panda.m</t>
  </si>
  <si>
    <t>A4.m</t>
  </si>
  <si>
    <t>Malibu.m</t>
  </si>
  <si>
    <t>Polo.m</t>
  </si>
  <si>
    <t>Tcross</t>
  </si>
  <si>
    <t xml:space="preserve">Scenario </t>
  </si>
  <si>
    <t>Sea_Sky_Hwy</t>
  </si>
  <si>
    <t>Overseas_Hwy</t>
  </si>
  <si>
    <t>A26_Autostrada_Trafori</t>
  </si>
  <si>
    <t>LFACC_01_DoubleCurve_DecelTarget</t>
  </si>
  <si>
    <t>I_81_Hwy</t>
  </si>
  <si>
    <t>A8_Stoccarda_Monaco</t>
  </si>
  <si>
    <t>Trans_Canada_Hwy</t>
  </si>
  <si>
    <t>Pacific_Coast_Highway</t>
  </si>
  <si>
    <t>Anaconda</t>
  </si>
  <si>
    <t>LFACC_04_Curve_CutInOut</t>
  </si>
  <si>
    <t>LFACC_05_Curve_CutInOut_TooClose</t>
  </si>
  <si>
    <t>LFACC_02_DoubleCurve_AutoRetarget</t>
  </si>
  <si>
    <t>LFACC_03_DoubleCurve_StopnGo</t>
  </si>
  <si>
    <t>FAILURE TECNICA DELTA&gt;1</t>
  </si>
  <si>
    <t>FAILURE TECNICA DELTA&gt;2</t>
  </si>
  <si>
    <t>FAILURE TECNICA DELTA&gt;0.67</t>
  </si>
  <si>
    <t>FAILURE TECNICA DELTA&gt;1.7</t>
  </si>
  <si>
    <t>FAILURE TECNICA DELTA&gt;3</t>
  </si>
  <si>
    <t>FAILURE TECNICA DELTA&gt;1.4</t>
  </si>
  <si>
    <t>TEMPO SIMULAZIONE</t>
  </si>
  <si>
    <t>TOTAL SIMULATION TIME</t>
  </si>
  <si>
    <t>TEMPO RISPARMIATO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</si>
</sst>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0" borderId="0" xfId="0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F80AC-28EA-49DF-BC01-65335991E946}">
  <dimension ref="A1:L102"/>
  <sheetViews>
    <sheetView tabSelected="1" topLeftCell="A69" zoomScale="83" workbookViewId="0">
      <selection activeCell="K97" sqref="K97"/>
    </sheetView>
  </sheetViews>
  <sheetFormatPr defaultRowHeight="14.5" x14ac:dyDescent="0.35"/>
  <cols>
    <col min="1" max="1" width="32.36328125" bestFit="1" customWidth="1"/>
    <col min="2" max="2" width="10.26953125" bestFit="1" customWidth="1"/>
    <col min="3" max="3" width="11.81640625" bestFit="1" customWidth="1"/>
    <col min="4" max="4" width="13.81640625" bestFit="1" customWidth="1"/>
    <col min="5" max="5" width="7.6328125" bestFit="1" customWidth="1"/>
    <col min="6" max="6" width="25.7265625" bestFit="1" customWidth="1"/>
    <col min="7" max="7" width="23.08984375" bestFit="1" customWidth="1"/>
    <col min="8" max="8" width="24.453125" bestFit="1" customWidth="1"/>
    <col min="9" max="9" width="24.08984375" bestFit="1" customWidth="1"/>
    <col min="10" max="10" width="24.453125" bestFit="1" customWidth="1"/>
    <col min="11" max="11" width="24.08984375" bestFit="1" customWidth="1"/>
    <col min="12" max="12" width="18.36328125" bestFit="1" customWidth="1"/>
  </cols>
  <sheetData>
    <row r="1" spans="1:12" x14ac:dyDescent="0.35">
      <c r="A1" s="7" t="s">
        <v>11</v>
      </c>
      <c r="B1" s="1" t="s">
        <v>0</v>
      </c>
      <c r="C1" s="2" t="s">
        <v>1</v>
      </c>
      <c r="D1" s="3" t="s">
        <v>2</v>
      </c>
      <c r="E1" s="4" t="s">
        <v>3</v>
      </c>
      <c r="F1" t="s">
        <v>27</v>
      </c>
      <c r="G1" t="s">
        <v>25</v>
      </c>
      <c r="H1" t="s">
        <v>30</v>
      </c>
      <c r="I1" t="s">
        <v>28</v>
      </c>
      <c r="J1" t="s">
        <v>26</v>
      </c>
      <c r="K1" t="s">
        <v>29</v>
      </c>
      <c r="L1" t="s">
        <v>31</v>
      </c>
    </row>
    <row r="2" spans="1:12" x14ac:dyDescent="0.35">
      <c r="A2" s="5" t="s">
        <v>12</v>
      </c>
      <c r="B2" t="s">
        <v>4</v>
      </c>
      <c r="C2">
        <v>3.1415778398513794</v>
      </c>
      <c r="D2">
        <v>1.9235235452651978</v>
      </c>
      <c r="E2" t="b">
        <v>1</v>
      </c>
      <c r="F2" s="5" t="b">
        <f>IF(C2&gt;0.67,E2,"-")</f>
        <v>1</v>
      </c>
      <c r="G2" s="5" t="b">
        <v>1</v>
      </c>
      <c r="H2" s="5" t="b">
        <f t="shared" ref="H2:H25" si="0">IF(C2&gt;1.4,E2,"-")</f>
        <v>1</v>
      </c>
      <c r="I2" s="5" t="b">
        <f t="shared" ref="I2:I7" si="1">IF(C2&gt;1.7,E2,"-")</f>
        <v>1</v>
      </c>
      <c r="J2" s="5" t="b">
        <f>IF(C2&gt;2,E2,"-")</f>
        <v>1</v>
      </c>
      <c r="K2" s="6" t="b">
        <v>1</v>
      </c>
      <c r="L2">
        <v>92.39</v>
      </c>
    </row>
    <row r="3" spans="1:12" x14ac:dyDescent="0.35">
      <c r="A3" s="5" t="s">
        <v>12</v>
      </c>
      <c r="B3" t="s">
        <v>5</v>
      </c>
      <c r="C3">
        <v>3.1415778398513794</v>
      </c>
      <c r="D3">
        <v>2.3338693380355835</v>
      </c>
      <c r="E3" t="b">
        <v>1</v>
      </c>
      <c r="F3" s="5" t="b">
        <f t="shared" ref="F3:F62" si="2">IF(C3&gt;0.67,E3,"-")</f>
        <v>1</v>
      </c>
      <c r="G3" s="5" t="b">
        <v>1</v>
      </c>
      <c r="H3" s="5" t="b">
        <f t="shared" si="0"/>
        <v>1</v>
      </c>
      <c r="I3" s="5" t="b">
        <f t="shared" si="1"/>
        <v>1</v>
      </c>
      <c r="J3" s="5" t="b">
        <f>IF(C3&gt;2,E3,"-")</f>
        <v>1</v>
      </c>
      <c r="K3" s="1" t="b">
        <v>1</v>
      </c>
      <c r="L3">
        <v>92.39</v>
      </c>
    </row>
    <row r="4" spans="1:12" x14ac:dyDescent="0.35">
      <c r="A4" s="5" t="s">
        <v>12</v>
      </c>
      <c r="B4" t="s">
        <v>6</v>
      </c>
      <c r="C4">
        <v>3.1415778398513794</v>
      </c>
      <c r="D4">
        <v>3.4751999378204346</v>
      </c>
      <c r="E4" t="b">
        <v>1</v>
      </c>
      <c r="F4" s="5" t="b">
        <f t="shared" si="2"/>
        <v>1</v>
      </c>
      <c r="G4" s="5" t="b">
        <v>1</v>
      </c>
      <c r="H4" s="5" t="b">
        <f t="shared" si="0"/>
        <v>1</v>
      </c>
      <c r="I4" s="5" t="b">
        <f t="shared" si="1"/>
        <v>1</v>
      </c>
      <c r="J4" s="5" t="b">
        <f>IF(C4&gt;2,E4,"-")</f>
        <v>1</v>
      </c>
      <c r="K4" s="1" t="b">
        <v>1</v>
      </c>
      <c r="L4">
        <v>92.39</v>
      </c>
    </row>
    <row r="5" spans="1:12" x14ac:dyDescent="0.35">
      <c r="A5" s="5" t="s">
        <v>13</v>
      </c>
      <c r="B5" t="s">
        <v>5</v>
      </c>
      <c r="C5">
        <v>1.7361408472061157</v>
      </c>
      <c r="D5">
        <v>3.5684084892272949</v>
      </c>
      <c r="E5" t="b">
        <v>1</v>
      </c>
      <c r="F5" s="5" t="b">
        <f t="shared" si="2"/>
        <v>1</v>
      </c>
      <c r="G5" s="5" t="b">
        <v>1</v>
      </c>
      <c r="H5" s="5" t="b">
        <f t="shared" si="0"/>
        <v>1</v>
      </c>
      <c r="I5" s="5" t="b">
        <f t="shared" si="1"/>
        <v>1</v>
      </c>
      <c r="J5" s="6" t="b">
        <v>1</v>
      </c>
      <c r="K5" s="6" t="b">
        <v>1</v>
      </c>
      <c r="L5">
        <v>162.27000000000001</v>
      </c>
    </row>
    <row r="6" spans="1:12" x14ac:dyDescent="0.35">
      <c r="A6" s="5" t="s">
        <v>12</v>
      </c>
      <c r="B6" t="s">
        <v>7</v>
      </c>
      <c r="C6">
        <v>3.1415778398513794</v>
      </c>
      <c r="D6">
        <v>3.7861460447311401</v>
      </c>
      <c r="E6" t="b">
        <v>1</v>
      </c>
      <c r="F6" s="5" t="b">
        <f t="shared" si="2"/>
        <v>1</v>
      </c>
      <c r="G6" s="5" t="b">
        <v>1</v>
      </c>
      <c r="H6" s="5" t="b">
        <f t="shared" si="0"/>
        <v>1</v>
      </c>
      <c r="I6" s="5" t="b">
        <f t="shared" si="1"/>
        <v>1</v>
      </c>
      <c r="J6" s="5" t="b">
        <f>IF(C6&gt;2,E6,"-")</f>
        <v>1</v>
      </c>
      <c r="K6" s="1" t="b">
        <v>1</v>
      </c>
      <c r="L6">
        <v>92.39</v>
      </c>
    </row>
    <row r="7" spans="1:12" x14ac:dyDescent="0.35">
      <c r="A7" s="5" t="s">
        <v>12</v>
      </c>
      <c r="B7" t="s">
        <v>8</v>
      </c>
      <c r="C7">
        <v>3.1415778398513794</v>
      </c>
      <c r="D7">
        <v>4.4550466537475586</v>
      </c>
      <c r="E7" t="b">
        <v>1</v>
      </c>
      <c r="F7" s="5" t="b">
        <f t="shared" si="2"/>
        <v>1</v>
      </c>
      <c r="G7" s="5" t="b">
        <v>1</v>
      </c>
      <c r="H7" s="5" t="b">
        <f t="shared" si="0"/>
        <v>1</v>
      </c>
      <c r="I7" s="5" t="b">
        <f t="shared" si="1"/>
        <v>1</v>
      </c>
      <c r="J7" s="5" t="b">
        <f>IF(C7&gt;2,E7,"-")</f>
        <v>1</v>
      </c>
      <c r="K7" s="1" t="b">
        <v>1</v>
      </c>
      <c r="L7">
        <v>92.39</v>
      </c>
    </row>
    <row r="8" spans="1:12" x14ac:dyDescent="0.35">
      <c r="A8" s="5" t="s">
        <v>14</v>
      </c>
      <c r="B8" t="s">
        <v>6</v>
      </c>
      <c r="C8">
        <v>1.4536970853805542</v>
      </c>
      <c r="D8">
        <v>4.4737720489501953</v>
      </c>
      <c r="E8" t="b">
        <v>0</v>
      </c>
      <c r="F8" s="5" t="b">
        <f t="shared" si="2"/>
        <v>0</v>
      </c>
      <c r="G8" s="5" t="b">
        <v>0</v>
      </c>
      <c r="H8" s="5" t="b">
        <f t="shared" si="0"/>
        <v>0</v>
      </c>
      <c r="I8" s="6" t="b">
        <v>0</v>
      </c>
      <c r="J8" s="6" t="b">
        <v>0</v>
      </c>
      <c r="K8" s="6" t="b">
        <v>0</v>
      </c>
      <c r="L8">
        <v>119.09</v>
      </c>
    </row>
    <row r="9" spans="1:12" x14ac:dyDescent="0.35">
      <c r="A9" s="5" t="s">
        <v>14</v>
      </c>
      <c r="B9" t="s">
        <v>9</v>
      </c>
      <c r="C9">
        <v>1.4536970853805542</v>
      </c>
      <c r="D9">
        <v>4.6187716722488403</v>
      </c>
      <c r="E9" t="b">
        <v>0</v>
      </c>
      <c r="F9" s="5" t="b">
        <f t="shared" si="2"/>
        <v>0</v>
      </c>
      <c r="G9" s="5" t="b">
        <v>0</v>
      </c>
      <c r="H9" s="5" t="b">
        <f t="shared" si="0"/>
        <v>0</v>
      </c>
      <c r="I9" s="1" t="b">
        <v>0</v>
      </c>
      <c r="J9" s="1" t="b">
        <v>0</v>
      </c>
      <c r="K9" s="1" t="b">
        <v>0</v>
      </c>
      <c r="L9">
        <v>119.09</v>
      </c>
    </row>
    <row r="10" spans="1:12" x14ac:dyDescent="0.35">
      <c r="A10" s="5" t="s">
        <v>13</v>
      </c>
      <c r="B10" t="s">
        <v>10</v>
      </c>
      <c r="C10">
        <v>1.7361408472061157</v>
      </c>
      <c r="D10">
        <v>4.7551953792572021</v>
      </c>
      <c r="E10" t="b">
        <v>1</v>
      </c>
      <c r="F10" s="5" t="b">
        <f t="shared" si="2"/>
        <v>1</v>
      </c>
      <c r="G10" s="5" t="b">
        <v>1</v>
      </c>
      <c r="H10" s="5" t="b">
        <f t="shared" si="0"/>
        <v>1</v>
      </c>
      <c r="I10" s="5" t="b">
        <f>IF(C10&gt;1.7,E10,"-")</f>
        <v>1</v>
      </c>
      <c r="J10" s="1" t="b">
        <v>1</v>
      </c>
      <c r="K10" s="1" t="b">
        <v>1</v>
      </c>
      <c r="L10">
        <v>162.27000000000001</v>
      </c>
    </row>
    <row r="11" spans="1:12" x14ac:dyDescent="0.35">
      <c r="A11" s="5" t="s">
        <v>13</v>
      </c>
      <c r="B11" t="s">
        <v>7</v>
      </c>
      <c r="C11">
        <v>1.7361408472061157</v>
      </c>
      <c r="D11">
        <v>4.7819286584854126</v>
      </c>
      <c r="E11" t="b">
        <v>1</v>
      </c>
      <c r="F11" s="5" t="b">
        <f t="shared" si="2"/>
        <v>1</v>
      </c>
      <c r="G11" s="5" t="b">
        <v>1</v>
      </c>
      <c r="H11" s="5" t="b">
        <f t="shared" si="0"/>
        <v>1</v>
      </c>
      <c r="I11" s="5" t="b">
        <f>IF(C11&gt;1.7,E11,"-")</f>
        <v>1</v>
      </c>
      <c r="J11" s="1" t="b">
        <v>1</v>
      </c>
      <c r="K11" s="1" t="b">
        <v>1</v>
      </c>
      <c r="L11">
        <v>162.27000000000001</v>
      </c>
    </row>
    <row r="12" spans="1:12" x14ac:dyDescent="0.35">
      <c r="A12" s="5" t="s">
        <v>12</v>
      </c>
      <c r="B12" t="s">
        <v>9</v>
      </c>
      <c r="C12">
        <v>3.1415778398513794</v>
      </c>
      <c r="D12">
        <v>4.8610556125640869</v>
      </c>
      <c r="E12" t="b">
        <v>1</v>
      </c>
      <c r="F12" s="5" t="b">
        <f t="shared" si="2"/>
        <v>1</v>
      </c>
      <c r="G12" s="5" t="b">
        <v>1</v>
      </c>
      <c r="H12" s="5" t="b">
        <f t="shared" si="0"/>
        <v>1</v>
      </c>
      <c r="I12" s="5" t="b">
        <f>IF(C12&gt;1.7,E12,"-")</f>
        <v>1</v>
      </c>
      <c r="J12" s="5" t="b">
        <f>IF(C12&gt;2,E12,"-")</f>
        <v>1</v>
      </c>
      <c r="K12" s="1" t="b">
        <v>1</v>
      </c>
      <c r="L12">
        <v>92.39</v>
      </c>
    </row>
    <row r="13" spans="1:12" x14ac:dyDescent="0.35">
      <c r="A13" s="5" t="s">
        <v>14</v>
      </c>
      <c r="B13" t="s">
        <v>8</v>
      </c>
      <c r="C13">
        <v>1.4536970853805542</v>
      </c>
      <c r="D13">
        <v>4.9039429426193237</v>
      </c>
      <c r="E13" t="b">
        <v>1</v>
      </c>
      <c r="F13" s="5" t="b">
        <f t="shared" si="2"/>
        <v>1</v>
      </c>
      <c r="G13" s="5" t="b">
        <v>1</v>
      </c>
      <c r="H13" s="5" t="b">
        <f t="shared" si="0"/>
        <v>1</v>
      </c>
      <c r="I13" s="1" t="b">
        <v>0</v>
      </c>
      <c r="J13" s="1" t="b">
        <v>0</v>
      </c>
      <c r="K13" s="1" t="b">
        <v>0</v>
      </c>
      <c r="L13">
        <v>119.09</v>
      </c>
    </row>
    <row r="14" spans="1:12" x14ac:dyDescent="0.35">
      <c r="A14" s="5" t="s">
        <v>13</v>
      </c>
      <c r="B14" t="s">
        <v>9</v>
      </c>
      <c r="C14">
        <v>1.7361408472061157</v>
      </c>
      <c r="D14">
        <v>4.906887412071228</v>
      </c>
      <c r="E14" t="b">
        <v>0</v>
      </c>
      <c r="F14" s="5" t="b">
        <f t="shared" si="2"/>
        <v>0</v>
      </c>
      <c r="G14" s="5" t="b">
        <v>0</v>
      </c>
      <c r="H14" s="5" t="b">
        <f t="shared" si="0"/>
        <v>0</v>
      </c>
      <c r="I14" s="5" t="b">
        <f>IF(C14&gt;1.7,E14,"-")</f>
        <v>0</v>
      </c>
      <c r="J14" s="1" t="b">
        <v>1</v>
      </c>
      <c r="K14" s="1" t="b">
        <v>1</v>
      </c>
      <c r="L14">
        <v>162.27000000000001</v>
      </c>
    </row>
    <row r="15" spans="1:12" x14ac:dyDescent="0.35">
      <c r="A15" s="5" t="s">
        <v>13</v>
      </c>
      <c r="B15" t="s">
        <v>8</v>
      </c>
      <c r="C15">
        <v>1.7361408472061157</v>
      </c>
      <c r="D15">
        <v>4.916873574256897</v>
      </c>
      <c r="E15" t="b">
        <v>1</v>
      </c>
      <c r="F15" s="5" t="b">
        <f t="shared" si="2"/>
        <v>1</v>
      </c>
      <c r="G15" s="5" t="b">
        <v>1</v>
      </c>
      <c r="H15" s="5" t="b">
        <f t="shared" si="0"/>
        <v>1</v>
      </c>
      <c r="I15" s="5" t="b">
        <f>IF(C15&gt;1.7,E15,"-")</f>
        <v>1</v>
      </c>
      <c r="J15" s="1" t="b">
        <v>1</v>
      </c>
      <c r="K15" s="1" t="b">
        <v>1</v>
      </c>
      <c r="L15">
        <v>162.27000000000001</v>
      </c>
    </row>
    <row r="16" spans="1:12" x14ac:dyDescent="0.35">
      <c r="A16" s="5" t="s">
        <v>14</v>
      </c>
      <c r="B16" t="s">
        <v>10</v>
      </c>
      <c r="C16">
        <v>1.4536970853805542</v>
      </c>
      <c r="D16">
        <v>4.9425023794174194</v>
      </c>
      <c r="E16" t="b">
        <v>0</v>
      </c>
      <c r="F16" s="5" t="b">
        <f t="shared" si="2"/>
        <v>0</v>
      </c>
      <c r="G16" s="5" t="b">
        <v>0</v>
      </c>
      <c r="H16" s="5" t="b">
        <f t="shared" si="0"/>
        <v>0</v>
      </c>
      <c r="I16" s="1" t="b">
        <v>0</v>
      </c>
      <c r="J16" s="1" t="b">
        <v>0</v>
      </c>
      <c r="K16" s="1" t="b">
        <v>0</v>
      </c>
      <c r="L16">
        <v>119.09</v>
      </c>
    </row>
    <row r="17" spans="1:12" x14ac:dyDescent="0.35">
      <c r="A17" s="5" t="s">
        <v>13</v>
      </c>
      <c r="B17" t="s">
        <v>6</v>
      </c>
      <c r="C17">
        <v>1.7361408472061157</v>
      </c>
      <c r="D17">
        <v>4.9939078092575073</v>
      </c>
      <c r="E17" t="b">
        <v>1</v>
      </c>
      <c r="F17" s="5" t="b">
        <f t="shared" si="2"/>
        <v>1</v>
      </c>
      <c r="G17" s="5" t="b">
        <v>1</v>
      </c>
      <c r="H17" s="5" t="b">
        <f t="shared" si="0"/>
        <v>1</v>
      </c>
      <c r="I17" s="5" t="b">
        <f>IF(C17&gt;1.7,E17,"-")</f>
        <v>1</v>
      </c>
      <c r="J17" s="1" t="b">
        <v>1</v>
      </c>
      <c r="K17" s="1" t="b">
        <v>1</v>
      </c>
      <c r="L17">
        <v>162.27000000000001</v>
      </c>
    </row>
    <row r="18" spans="1:12" x14ac:dyDescent="0.35">
      <c r="A18" s="5" t="s">
        <v>15</v>
      </c>
      <c r="B18" t="s">
        <v>6</v>
      </c>
      <c r="C18">
        <v>1.7060250043869019</v>
      </c>
      <c r="D18">
        <v>5.0062280893325806</v>
      </c>
      <c r="E18" t="b">
        <v>1</v>
      </c>
      <c r="F18" s="5" t="b">
        <f t="shared" si="2"/>
        <v>1</v>
      </c>
      <c r="G18" s="5" t="b">
        <v>1</v>
      </c>
      <c r="H18" s="5" t="b">
        <f t="shared" si="0"/>
        <v>1</v>
      </c>
      <c r="I18" s="5" t="b">
        <f>IF(C18&gt;1.7,E18,"-")</f>
        <v>1</v>
      </c>
      <c r="J18" s="6" t="b">
        <v>1</v>
      </c>
      <c r="K18" s="6" t="b">
        <v>1</v>
      </c>
      <c r="L18">
        <v>79.86</v>
      </c>
    </row>
    <row r="19" spans="1:12" x14ac:dyDescent="0.35">
      <c r="A19" s="5" t="s">
        <v>12</v>
      </c>
      <c r="B19" t="s">
        <v>10</v>
      </c>
      <c r="C19">
        <v>3.1415778398513794</v>
      </c>
      <c r="D19">
        <v>5.0651013851165771</v>
      </c>
      <c r="E19" t="b">
        <v>1</v>
      </c>
      <c r="F19" s="5" t="b">
        <f t="shared" si="2"/>
        <v>1</v>
      </c>
      <c r="G19" s="5" t="b">
        <v>1</v>
      </c>
      <c r="H19" s="5" t="b">
        <f t="shared" si="0"/>
        <v>1</v>
      </c>
      <c r="I19" s="5" t="b">
        <f>IF(C19&gt;1.7,E19,"-")</f>
        <v>1</v>
      </c>
      <c r="J19" s="5" t="b">
        <f>IF(C19&gt;2,E19,"-")</f>
        <v>1</v>
      </c>
      <c r="K19" s="1" t="b">
        <v>1</v>
      </c>
      <c r="L19">
        <v>92.39</v>
      </c>
    </row>
    <row r="20" spans="1:12" x14ac:dyDescent="0.35">
      <c r="A20" s="5" t="s">
        <v>14</v>
      </c>
      <c r="B20" t="s">
        <v>7</v>
      </c>
      <c r="C20">
        <v>1.4536970853805542</v>
      </c>
      <c r="D20">
        <v>5.1355272531509399</v>
      </c>
      <c r="E20" t="b">
        <v>0</v>
      </c>
      <c r="F20" s="5" t="b">
        <f t="shared" si="2"/>
        <v>0</v>
      </c>
      <c r="G20" s="5" t="b">
        <v>0</v>
      </c>
      <c r="H20" s="5" t="b">
        <f t="shared" si="0"/>
        <v>0</v>
      </c>
      <c r="I20" s="1" t="b">
        <v>0</v>
      </c>
      <c r="J20" s="1" t="b">
        <v>0</v>
      </c>
      <c r="K20" s="1" t="b">
        <v>0</v>
      </c>
      <c r="L20">
        <v>119.09</v>
      </c>
    </row>
    <row r="21" spans="1:12" x14ac:dyDescent="0.35">
      <c r="A21" s="5" t="s">
        <v>14</v>
      </c>
      <c r="B21" t="s">
        <v>5</v>
      </c>
      <c r="C21">
        <v>1.4536970853805542</v>
      </c>
      <c r="D21">
        <v>5.200543999671936</v>
      </c>
      <c r="E21" t="b">
        <v>0</v>
      </c>
      <c r="F21" s="5" t="b">
        <f t="shared" si="2"/>
        <v>0</v>
      </c>
      <c r="G21" s="5" t="b">
        <v>0</v>
      </c>
      <c r="H21" s="5" t="b">
        <f t="shared" si="0"/>
        <v>0</v>
      </c>
      <c r="I21" s="1" t="b">
        <v>0</v>
      </c>
      <c r="J21" s="1" t="b">
        <v>0</v>
      </c>
      <c r="K21" s="1" t="b">
        <v>0</v>
      </c>
      <c r="L21">
        <v>119.09</v>
      </c>
    </row>
    <row r="22" spans="1:12" x14ac:dyDescent="0.35">
      <c r="A22" s="5" t="s">
        <v>13</v>
      </c>
      <c r="B22" t="s">
        <v>4</v>
      </c>
      <c r="C22">
        <v>1.7361408472061157</v>
      </c>
      <c r="D22">
        <v>5.3045493364334106</v>
      </c>
      <c r="E22" t="b">
        <v>1</v>
      </c>
      <c r="F22" s="5" t="b">
        <f t="shared" si="2"/>
        <v>1</v>
      </c>
      <c r="G22" s="5" t="b">
        <v>1</v>
      </c>
      <c r="H22" s="5" t="b">
        <f t="shared" si="0"/>
        <v>1</v>
      </c>
      <c r="I22" s="5" t="b">
        <f>IF(C22&gt;1.7,E22,"-")</f>
        <v>1</v>
      </c>
      <c r="J22" s="1" t="b">
        <v>1</v>
      </c>
      <c r="K22" s="1" t="b">
        <v>1</v>
      </c>
      <c r="L22">
        <v>162.27000000000001</v>
      </c>
    </row>
    <row r="23" spans="1:12" x14ac:dyDescent="0.35">
      <c r="A23" s="5" t="s">
        <v>15</v>
      </c>
      <c r="B23" t="s">
        <v>9</v>
      </c>
      <c r="C23">
        <v>1.7060250043869019</v>
      </c>
      <c r="D23">
        <v>5.5618196725845337</v>
      </c>
      <c r="E23" t="b">
        <v>1</v>
      </c>
      <c r="F23" s="5" t="b">
        <f t="shared" si="2"/>
        <v>1</v>
      </c>
      <c r="G23" s="5" t="b">
        <v>1</v>
      </c>
      <c r="H23" s="5" t="b">
        <f t="shared" si="0"/>
        <v>1</v>
      </c>
      <c r="I23" s="5" t="b">
        <f>IF(C23&gt;1.7,E23,"-")</f>
        <v>1</v>
      </c>
      <c r="J23" s="1" t="b">
        <v>1</v>
      </c>
      <c r="K23" s="1" t="b">
        <v>1</v>
      </c>
      <c r="L23">
        <v>79.86</v>
      </c>
    </row>
    <row r="24" spans="1:12" x14ac:dyDescent="0.35">
      <c r="A24" s="5" t="s">
        <v>15</v>
      </c>
      <c r="B24" t="s">
        <v>10</v>
      </c>
      <c r="C24">
        <v>1.7060250043869019</v>
      </c>
      <c r="D24">
        <v>5.8602452278137207</v>
      </c>
      <c r="E24" t="b">
        <v>1</v>
      </c>
      <c r="F24" s="5" t="b">
        <f t="shared" si="2"/>
        <v>1</v>
      </c>
      <c r="G24" s="5" t="b">
        <v>1</v>
      </c>
      <c r="H24" s="5" t="b">
        <f t="shared" si="0"/>
        <v>1</v>
      </c>
      <c r="I24" s="5" t="b">
        <f>IF(C24&gt;1.7,E24,"-")</f>
        <v>1</v>
      </c>
      <c r="J24" s="1" t="b">
        <v>1</v>
      </c>
      <c r="K24" s="1" t="b">
        <v>1</v>
      </c>
      <c r="L24">
        <v>79.86</v>
      </c>
    </row>
    <row r="25" spans="1:12" x14ac:dyDescent="0.35">
      <c r="A25" s="5" t="s">
        <v>14</v>
      </c>
      <c r="B25" t="s">
        <v>4</v>
      </c>
      <c r="C25">
        <v>1.4536970853805542</v>
      </c>
      <c r="D25">
        <v>5.9274691343307495</v>
      </c>
      <c r="E25" t="b">
        <v>0</v>
      </c>
      <c r="F25" s="5" t="b">
        <f t="shared" si="2"/>
        <v>0</v>
      </c>
      <c r="G25" s="5" t="b">
        <v>0</v>
      </c>
      <c r="H25" s="5" t="b">
        <f t="shared" si="0"/>
        <v>0</v>
      </c>
      <c r="I25" s="1" t="b">
        <v>0</v>
      </c>
      <c r="J25" s="1" t="b">
        <v>0</v>
      </c>
      <c r="K25" s="1" t="b">
        <v>0</v>
      </c>
      <c r="L25">
        <v>119.09</v>
      </c>
    </row>
    <row r="26" spans="1:12" x14ac:dyDescent="0.35">
      <c r="A26" s="8" t="s">
        <v>16</v>
      </c>
      <c r="B26" t="s">
        <v>6</v>
      </c>
      <c r="C26">
        <v>0.67654192447662354</v>
      </c>
      <c r="D26">
        <v>6.0447883605957031</v>
      </c>
      <c r="E26" t="b">
        <v>0</v>
      </c>
      <c r="F26" s="5" t="b">
        <f t="shared" si="2"/>
        <v>0</v>
      </c>
      <c r="G26" s="6" t="b">
        <v>0</v>
      </c>
      <c r="H26" s="6" t="b">
        <v>0</v>
      </c>
      <c r="I26" s="6" t="b">
        <v>0</v>
      </c>
      <c r="J26" s="6" t="b">
        <v>0</v>
      </c>
      <c r="K26" s="6" t="b">
        <v>0</v>
      </c>
      <c r="L26">
        <v>103.03</v>
      </c>
    </row>
    <row r="27" spans="1:12" x14ac:dyDescent="0.35">
      <c r="A27" t="s">
        <v>16</v>
      </c>
      <c r="B27" t="s">
        <v>5</v>
      </c>
      <c r="C27">
        <v>0.67654192447662354</v>
      </c>
      <c r="D27">
        <v>6.1026912927627563</v>
      </c>
      <c r="E27" t="b">
        <v>1</v>
      </c>
      <c r="F27" s="5" t="b">
        <f t="shared" si="2"/>
        <v>1</v>
      </c>
      <c r="G27" s="1" t="b">
        <v>0</v>
      </c>
      <c r="H27" s="1" t="b">
        <v>0</v>
      </c>
      <c r="I27" s="1" t="b">
        <v>0</v>
      </c>
      <c r="J27" s="1" t="b">
        <v>0</v>
      </c>
      <c r="K27" s="1" t="b">
        <v>0</v>
      </c>
      <c r="L27">
        <v>103.03</v>
      </c>
    </row>
    <row r="28" spans="1:12" x14ac:dyDescent="0.35">
      <c r="A28" t="s">
        <v>16</v>
      </c>
      <c r="B28" t="s">
        <v>4</v>
      </c>
      <c r="C28">
        <v>0.67654192447662354</v>
      </c>
      <c r="D28">
        <v>6.1612457036972046</v>
      </c>
      <c r="E28" t="b">
        <v>1</v>
      </c>
      <c r="F28" s="5" t="b">
        <f t="shared" si="2"/>
        <v>1</v>
      </c>
      <c r="G28" s="1" t="b">
        <v>0</v>
      </c>
      <c r="H28" s="1" t="b">
        <v>0</v>
      </c>
      <c r="I28" s="1" t="b">
        <v>0</v>
      </c>
      <c r="J28" s="1" t="b">
        <v>0</v>
      </c>
      <c r="K28" s="1" t="b">
        <v>0</v>
      </c>
      <c r="L28">
        <v>103.03</v>
      </c>
    </row>
    <row r="29" spans="1:12" x14ac:dyDescent="0.35">
      <c r="A29" t="s">
        <v>16</v>
      </c>
      <c r="B29" t="s">
        <v>9</v>
      </c>
      <c r="C29">
        <v>0.67654192447662354</v>
      </c>
      <c r="D29">
        <v>6.2980997562408447</v>
      </c>
      <c r="E29" t="b">
        <v>0</v>
      </c>
      <c r="F29" s="5" t="b">
        <f t="shared" si="2"/>
        <v>0</v>
      </c>
      <c r="G29" s="1" t="b">
        <v>0</v>
      </c>
      <c r="H29" s="1" t="b">
        <v>0</v>
      </c>
      <c r="I29" s="1" t="b">
        <v>0</v>
      </c>
      <c r="J29" s="1" t="b">
        <v>0</v>
      </c>
      <c r="K29" s="1" t="b">
        <v>0</v>
      </c>
      <c r="L29">
        <v>103.03</v>
      </c>
    </row>
    <row r="30" spans="1:12" x14ac:dyDescent="0.35">
      <c r="A30" s="8" t="s">
        <v>17</v>
      </c>
      <c r="B30" t="s">
        <v>10</v>
      </c>
      <c r="C30">
        <v>0.59919059276580811</v>
      </c>
      <c r="D30">
        <v>6.3683974742889404</v>
      </c>
      <c r="E30" t="b">
        <v>0</v>
      </c>
      <c r="F30" s="6" t="b">
        <v>0</v>
      </c>
      <c r="G30" s="6" t="b">
        <v>0</v>
      </c>
      <c r="H30" s="6" t="b">
        <v>0</v>
      </c>
      <c r="I30" s="6" t="b">
        <v>0</v>
      </c>
      <c r="J30" s="6" t="b">
        <v>0</v>
      </c>
      <c r="K30" s="6" t="b">
        <v>0</v>
      </c>
      <c r="L30">
        <v>139.06</v>
      </c>
    </row>
    <row r="31" spans="1:12" x14ac:dyDescent="0.35">
      <c r="A31" t="s">
        <v>17</v>
      </c>
      <c r="B31" t="s">
        <v>5</v>
      </c>
      <c r="C31">
        <v>0.59919059276580811</v>
      </c>
      <c r="D31">
        <v>6.3876050710678101</v>
      </c>
      <c r="E31" t="b">
        <v>0</v>
      </c>
      <c r="F31" s="1" t="b">
        <v>0</v>
      </c>
      <c r="G31" s="1" t="b">
        <v>0</v>
      </c>
      <c r="H31" s="1" t="b">
        <v>0</v>
      </c>
      <c r="I31" s="1" t="b">
        <v>0</v>
      </c>
      <c r="J31" s="1" t="b">
        <v>0</v>
      </c>
      <c r="K31" s="1" t="b">
        <v>0</v>
      </c>
      <c r="L31">
        <v>139.06</v>
      </c>
    </row>
    <row r="32" spans="1:12" x14ac:dyDescent="0.35">
      <c r="A32" t="s">
        <v>17</v>
      </c>
      <c r="B32" t="s">
        <v>6</v>
      </c>
      <c r="C32">
        <v>0.59919059276580811</v>
      </c>
      <c r="D32">
        <v>6.462823748588562</v>
      </c>
      <c r="E32" t="b">
        <v>1</v>
      </c>
      <c r="F32" s="1" t="b">
        <v>0</v>
      </c>
      <c r="G32" s="1" t="b">
        <v>0</v>
      </c>
      <c r="H32" s="1" t="b">
        <v>0</v>
      </c>
      <c r="I32" s="1" t="b">
        <v>0</v>
      </c>
      <c r="J32" s="1" t="b">
        <v>0</v>
      </c>
      <c r="K32" s="1" t="b">
        <v>0</v>
      </c>
      <c r="L32">
        <v>139.06</v>
      </c>
    </row>
    <row r="33" spans="1:12" x14ac:dyDescent="0.35">
      <c r="A33" t="s">
        <v>17</v>
      </c>
      <c r="B33" t="s">
        <v>9</v>
      </c>
      <c r="C33">
        <v>0.59919059276580811</v>
      </c>
      <c r="D33">
        <v>6.4761883020401001</v>
      </c>
      <c r="E33" t="b">
        <v>0</v>
      </c>
      <c r="F33" s="1" t="b">
        <v>0</v>
      </c>
      <c r="G33" s="1" t="b">
        <v>0</v>
      </c>
      <c r="H33" s="1" t="b">
        <v>0</v>
      </c>
      <c r="I33" s="1" t="b">
        <v>0</v>
      </c>
      <c r="J33" s="1" t="b">
        <v>0</v>
      </c>
      <c r="K33" s="1" t="b">
        <v>0</v>
      </c>
      <c r="L33">
        <v>139.06</v>
      </c>
    </row>
    <row r="34" spans="1:12" x14ac:dyDescent="0.35">
      <c r="A34" s="5" t="s">
        <v>15</v>
      </c>
      <c r="B34" t="s">
        <v>8</v>
      </c>
      <c r="C34">
        <v>1.7060250043869019</v>
      </c>
      <c r="D34">
        <v>6.494261622428894</v>
      </c>
      <c r="E34" t="b">
        <v>1</v>
      </c>
      <c r="F34" s="5" t="b">
        <f t="shared" si="2"/>
        <v>1</v>
      </c>
      <c r="G34" s="5" t="b">
        <v>1</v>
      </c>
      <c r="H34" s="5" t="b">
        <f>IF(C34&gt;1.4,E34,"-")</f>
        <v>1</v>
      </c>
      <c r="I34" s="5" t="b">
        <f>IF(C34&gt;1.7,E34,"-")</f>
        <v>1</v>
      </c>
      <c r="J34" s="1" t="b">
        <v>1</v>
      </c>
      <c r="K34" s="1" t="b">
        <v>1</v>
      </c>
      <c r="L34">
        <v>79.86</v>
      </c>
    </row>
    <row r="35" spans="1:12" x14ac:dyDescent="0.35">
      <c r="A35" t="s">
        <v>16</v>
      </c>
      <c r="B35" t="s">
        <v>10</v>
      </c>
      <c r="C35">
        <v>0.67654192447662354</v>
      </c>
      <c r="D35">
        <v>6.5081894397735596</v>
      </c>
      <c r="E35" t="b">
        <v>0</v>
      </c>
      <c r="F35" s="5" t="b">
        <f t="shared" si="2"/>
        <v>0</v>
      </c>
      <c r="G35" s="1" t="b">
        <v>0</v>
      </c>
      <c r="H35" s="1" t="b">
        <v>0</v>
      </c>
      <c r="I35" s="1" t="b">
        <v>0</v>
      </c>
      <c r="J35" s="1" t="b">
        <v>0</v>
      </c>
      <c r="K35" s="1" t="b">
        <v>0</v>
      </c>
      <c r="L35">
        <v>103.03</v>
      </c>
    </row>
    <row r="36" spans="1:12" x14ac:dyDescent="0.35">
      <c r="A36" s="5" t="s">
        <v>15</v>
      </c>
      <c r="B36" t="s">
        <v>4</v>
      </c>
      <c r="C36">
        <v>1.7060250043869019</v>
      </c>
      <c r="D36">
        <v>6.5185701847076416</v>
      </c>
      <c r="E36" t="b">
        <v>1</v>
      </c>
      <c r="F36" s="5" t="b">
        <f t="shared" si="2"/>
        <v>1</v>
      </c>
      <c r="G36" s="5" t="b">
        <v>1</v>
      </c>
      <c r="H36" s="5" t="b">
        <f>IF(C36&gt;1.4,E36,"-")</f>
        <v>1</v>
      </c>
      <c r="I36" s="5" t="b">
        <f>IF(C36&gt;1.7,E36,"-")</f>
        <v>1</v>
      </c>
      <c r="J36" s="1" t="b">
        <v>1</v>
      </c>
      <c r="K36" s="1" t="b">
        <v>1</v>
      </c>
      <c r="L36">
        <v>79.86</v>
      </c>
    </row>
    <row r="37" spans="1:12" x14ac:dyDescent="0.35">
      <c r="A37" s="5" t="s">
        <v>15</v>
      </c>
      <c r="B37" t="s">
        <v>7</v>
      </c>
      <c r="C37">
        <v>1.7060250043869019</v>
      </c>
      <c r="D37">
        <v>6.5771442651748657</v>
      </c>
      <c r="E37" t="b">
        <v>1</v>
      </c>
      <c r="F37" s="5" t="b">
        <f t="shared" si="2"/>
        <v>1</v>
      </c>
      <c r="G37" s="5" t="b">
        <v>1</v>
      </c>
      <c r="H37" s="5" t="b">
        <f>IF(C37&gt;1.4,E37,"-")</f>
        <v>1</v>
      </c>
      <c r="I37" s="5" t="b">
        <f>IF(C37&gt;1.7,E37,"-")</f>
        <v>1</v>
      </c>
      <c r="J37" s="1" t="b">
        <v>1</v>
      </c>
      <c r="K37" s="1" t="b">
        <v>1</v>
      </c>
      <c r="L37">
        <v>79.86</v>
      </c>
    </row>
    <row r="38" spans="1:12" x14ac:dyDescent="0.35">
      <c r="A38" t="s">
        <v>17</v>
      </c>
      <c r="B38" t="s">
        <v>8</v>
      </c>
      <c r="C38">
        <v>0.59919059276580811</v>
      </c>
      <c r="D38">
        <v>6.6070717573165894</v>
      </c>
      <c r="E38" t="b">
        <v>0</v>
      </c>
      <c r="F38" s="1" t="b">
        <v>0</v>
      </c>
      <c r="G38" s="1" t="b">
        <v>0</v>
      </c>
      <c r="H38" s="1" t="b">
        <v>0</v>
      </c>
      <c r="I38" s="1" t="b">
        <v>0</v>
      </c>
      <c r="J38" s="1" t="b">
        <v>0</v>
      </c>
      <c r="K38" s="1" t="b">
        <v>0</v>
      </c>
      <c r="L38">
        <v>139.06</v>
      </c>
    </row>
    <row r="39" spans="1:12" x14ac:dyDescent="0.35">
      <c r="A39" s="8" t="s">
        <v>18</v>
      </c>
      <c r="B39" t="s">
        <v>6</v>
      </c>
      <c r="C39">
        <v>8.705437183380127E-2</v>
      </c>
      <c r="D39">
        <v>6.6338890790939331</v>
      </c>
      <c r="E39" t="b">
        <v>0</v>
      </c>
      <c r="F39" s="6" t="b">
        <v>0</v>
      </c>
      <c r="G39" s="6" t="b">
        <v>0</v>
      </c>
      <c r="H39" s="6" t="b">
        <v>0</v>
      </c>
      <c r="I39" s="6" t="b">
        <v>0</v>
      </c>
      <c r="J39" s="6" t="b">
        <v>0</v>
      </c>
      <c r="K39" s="6" t="b">
        <v>0</v>
      </c>
      <c r="L39">
        <v>154.86000000000001</v>
      </c>
    </row>
    <row r="40" spans="1:12" x14ac:dyDescent="0.35">
      <c r="A40" t="s">
        <v>17</v>
      </c>
      <c r="B40" t="s">
        <v>7</v>
      </c>
      <c r="C40">
        <v>0.59919059276580811</v>
      </c>
      <c r="D40">
        <v>6.634102463722229</v>
      </c>
      <c r="E40" t="b">
        <v>0</v>
      </c>
      <c r="F40" s="1" t="b">
        <v>0</v>
      </c>
      <c r="G40" s="1" t="b">
        <v>0</v>
      </c>
      <c r="H40" s="1" t="b">
        <v>0</v>
      </c>
      <c r="I40" s="1" t="b">
        <v>0</v>
      </c>
      <c r="J40" s="1" t="b">
        <v>0</v>
      </c>
      <c r="K40" s="1" t="b">
        <v>0</v>
      </c>
      <c r="L40">
        <v>139.06</v>
      </c>
    </row>
    <row r="41" spans="1:12" x14ac:dyDescent="0.35">
      <c r="A41" t="s">
        <v>18</v>
      </c>
      <c r="B41" t="s">
        <v>9</v>
      </c>
      <c r="C41">
        <v>8.705437183380127E-2</v>
      </c>
      <c r="D41">
        <v>6.6565585136413574</v>
      </c>
      <c r="E41" t="b">
        <v>0</v>
      </c>
      <c r="F41" s="1" t="b">
        <v>0</v>
      </c>
      <c r="G41" s="1" t="b">
        <v>0</v>
      </c>
      <c r="H41" s="1" t="b">
        <v>0</v>
      </c>
      <c r="I41" s="1" t="b">
        <v>0</v>
      </c>
      <c r="J41" s="1" t="b">
        <v>0</v>
      </c>
      <c r="K41" s="1" t="b">
        <v>0</v>
      </c>
      <c r="L41">
        <v>154.86000000000001</v>
      </c>
    </row>
    <row r="42" spans="1:12" x14ac:dyDescent="0.35">
      <c r="A42" t="s">
        <v>18</v>
      </c>
      <c r="B42" t="s">
        <v>10</v>
      </c>
      <c r="C42">
        <v>8.705437183380127E-2</v>
      </c>
      <c r="D42">
        <v>6.6565585136413574</v>
      </c>
      <c r="E42" t="b">
        <v>0</v>
      </c>
      <c r="F42" s="1" t="b">
        <v>0</v>
      </c>
      <c r="G42" s="1" t="b">
        <v>0</v>
      </c>
      <c r="H42" s="1" t="b">
        <v>0</v>
      </c>
      <c r="I42" s="1" t="b">
        <v>0</v>
      </c>
      <c r="J42" s="1" t="b">
        <v>0</v>
      </c>
      <c r="K42" s="1" t="b">
        <v>0</v>
      </c>
      <c r="L42">
        <v>154.86000000000001</v>
      </c>
    </row>
    <row r="43" spans="1:12" x14ac:dyDescent="0.35">
      <c r="A43" t="s">
        <v>18</v>
      </c>
      <c r="B43" t="s">
        <v>5</v>
      </c>
      <c r="C43">
        <v>8.705437183380127E-2</v>
      </c>
      <c r="D43">
        <v>6.6792279481887817</v>
      </c>
      <c r="E43" t="b">
        <v>0</v>
      </c>
      <c r="F43" s="1" t="b">
        <v>0</v>
      </c>
      <c r="G43" s="1" t="b">
        <v>0</v>
      </c>
      <c r="H43" s="1" t="b">
        <v>0</v>
      </c>
      <c r="I43" s="1" t="b">
        <v>0</v>
      </c>
      <c r="J43" s="1" t="b">
        <v>0</v>
      </c>
      <c r="K43" s="1" t="b">
        <v>0</v>
      </c>
      <c r="L43">
        <v>154.86000000000001</v>
      </c>
    </row>
    <row r="44" spans="1:12" x14ac:dyDescent="0.35">
      <c r="A44" t="s">
        <v>18</v>
      </c>
      <c r="B44" t="s">
        <v>7</v>
      </c>
      <c r="C44">
        <v>8.705437183380127E-2</v>
      </c>
      <c r="D44">
        <v>6.6792279481887817</v>
      </c>
      <c r="E44" t="b">
        <v>0</v>
      </c>
      <c r="F44" s="1" t="b">
        <v>0</v>
      </c>
      <c r="G44" s="1" t="b">
        <v>0</v>
      </c>
      <c r="H44" s="1" t="b">
        <v>0</v>
      </c>
      <c r="I44" s="1" t="b">
        <v>0</v>
      </c>
      <c r="J44" s="1" t="b">
        <v>0</v>
      </c>
      <c r="K44" s="1" t="b">
        <v>0</v>
      </c>
      <c r="L44">
        <v>154.86000000000001</v>
      </c>
    </row>
    <row r="45" spans="1:12" x14ac:dyDescent="0.35">
      <c r="A45" t="s">
        <v>18</v>
      </c>
      <c r="B45" t="s">
        <v>8</v>
      </c>
      <c r="C45">
        <v>8.705437183380127E-2</v>
      </c>
      <c r="D45">
        <v>6.682855486869812</v>
      </c>
      <c r="E45" t="b">
        <v>0</v>
      </c>
      <c r="F45" s="1" t="b">
        <v>0</v>
      </c>
      <c r="G45" s="1" t="b">
        <v>0</v>
      </c>
      <c r="H45" s="1" t="b">
        <v>0</v>
      </c>
      <c r="I45" s="1" t="b">
        <v>0</v>
      </c>
      <c r="J45" s="1" t="b">
        <v>0</v>
      </c>
      <c r="K45" s="1" t="b">
        <v>0</v>
      </c>
      <c r="L45">
        <v>154.86000000000001</v>
      </c>
    </row>
    <row r="46" spans="1:12" x14ac:dyDescent="0.35">
      <c r="A46" t="s">
        <v>16</v>
      </c>
      <c r="B46" t="s">
        <v>7</v>
      </c>
      <c r="C46">
        <v>0.67654192447662354</v>
      </c>
      <c r="D46">
        <v>6.6832846403121948</v>
      </c>
      <c r="E46" t="b">
        <v>1</v>
      </c>
      <c r="F46" s="5" t="b">
        <f t="shared" si="2"/>
        <v>1</v>
      </c>
      <c r="G46" s="1" t="b">
        <v>0</v>
      </c>
      <c r="H46" s="1" t="b">
        <v>0</v>
      </c>
      <c r="I46" s="1" t="b">
        <v>0</v>
      </c>
      <c r="J46" s="1" t="b">
        <v>0</v>
      </c>
      <c r="K46" s="1" t="b">
        <v>0</v>
      </c>
      <c r="L46">
        <v>103.03</v>
      </c>
    </row>
    <row r="47" spans="1:12" x14ac:dyDescent="0.35">
      <c r="A47" s="5" t="s">
        <v>15</v>
      </c>
      <c r="B47" t="s">
        <v>5</v>
      </c>
      <c r="C47">
        <v>1.7060250043869019</v>
      </c>
      <c r="D47">
        <v>6.7122530937194824</v>
      </c>
      <c r="E47" t="b">
        <v>1</v>
      </c>
      <c r="F47" s="5" t="b">
        <f t="shared" si="2"/>
        <v>1</v>
      </c>
      <c r="G47" s="5" t="b">
        <v>1</v>
      </c>
      <c r="H47" s="5" t="b">
        <f>IF(C47&gt;1.4,E47,"-")</f>
        <v>1</v>
      </c>
      <c r="I47" s="5" t="b">
        <f>IF(C47&gt;1.7,E47,"-")</f>
        <v>1</v>
      </c>
      <c r="J47" s="1" t="b">
        <v>1</v>
      </c>
      <c r="K47" s="1" t="b">
        <v>1</v>
      </c>
      <c r="L47">
        <v>79.86</v>
      </c>
    </row>
    <row r="48" spans="1:12" x14ac:dyDescent="0.35">
      <c r="A48" t="s">
        <v>18</v>
      </c>
      <c r="B48" t="s">
        <v>4</v>
      </c>
      <c r="C48">
        <v>8.705437183380127E-2</v>
      </c>
      <c r="D48">
        <v>6.7209434509277344</v>
      </c>
      <c r="E48" t="b">
        <v>0</v>
      </c>
      <c r="F48" s="1" t="b">
        <v>0</v>
      </c>
      <c r="G48" s="1" t="b">
        <v>0</v>
      </c>
      <c r="H48" s="1" t="b">
        <v>0</v>
      </c>
      <c r="I48" s="1" t="b">
        <v>0</v>
      </c>
      <c r="J48" s="1" t="b">
        <v>0</v>
      </c>
      <c r="K48" s="1" t="b">
        <v>0</v>
      </c>
      <c r="L48">
        <v>154.86000000000001</v>
      </c>
    </row>
    <row r="49" spans="1:12" x14ac:dyDescent="0.35">
      <c r="A49" t="s">
        <v>16</v>
      </c>
      <c r="B49" t="s">
        <v>8</v>
      </c>
      <c r="C49">
        <v>0.67654192447662354</v>
      </c>
      <c r="D49">
        <v>6.7213302850723267</v>
      </c>
      <c r="E49" t="b">
        <v>1</v>
      </c>
      <c r="F49" s="5" t="b">
        <f t="shared" si="2"/>
        <v>1</v>
      </c>
      <c r="G49" s="1" t="b">
        <v>0</v>
      </c>
      <c r="H49" s="1" t="b">
        <v>0</v>
      </c>
      <c r="I49" s="1" t="b">
        <v>0</v>
      </c>
      <c r="J49" s="1" t="b">
        <v>0</v>
      </c>
      <c r="K49" s="1" t="b">
        <v>0</v>
      </c>
      <c r="L49">
        <v>103.03</v>
      </c>
    </row>
    <row r="50" spans="1:12" x14ac:dyDescent="0.35">
      <c r="A50" s="8" t="s">
        <v>19</v>
      </c>
      <c r="B50" t="s">
        <v>6</v>
      </c>
      <c r="C50">
        <v>0.22435188293457031</v>
      </c>
      <c r="D50">
        <v>6.8001002073287964</v>
      </c>
      <c r="E50" t="b">
        <v>0</v>
      </c>
      <c r="F50" s="6" t="b">
        <v>0</v>
      </c>
      <c r="G50" s="6" t="b">
        <v>0</v>
      </c>
      <c r="H50" s="6" t="b">
        <v>0</v>
      </c>
      <c r="I50" s="6" t="b">
        <v>0</v>
      </c>
      <c r="J50" s="6" t="b">
        <v>0</v>
      </c>
      <c r="K50" s="6" t="b">
        <v>0</v>
      </c>
      <c r="L50">
        <v>160.43</v>
      </c>
    </row>
    <row r="51" spans="1:12" x14ac:dyDescent="0.35">
      <c r="A51" t="s">
        <v>19</v>
      </c>
      <c r="B51" t="s">
        <v>10</v>
      </c>
      <c r="C51">
        <v>0.22435188293457031</v>
      </c>
      <c r="D51">
        <v>6.8642431497573853</v>
      </c>
      <c r="E51" t="b">
        <v>0</v>
      </c>
      <c r="F51" s="1" t="b">
        <v>0</v>
      </c>
      <c r="G51" s="1" t="b">
        <v>0</v>
      </c>
      <c r="H51" s="1" t="b">
        <v>0</v>
      </c>
      <c r="I51" s="1" t="b">
        <v>0</v>
      </c>
      <c r="J51" s="1" t="b">
        <v>0</v>
      </c>
      <c r="K51" s="1" t="b">
        <v>0</v>
      </c>
      <c r="L51">
        <v>160.43</v>
      </c>
    </row>
    <row r="52" spans="1:12" x14ac:dyDescent="0.35">
      <c r="A52" t="s">
        <v>19</v>
      </c>
      <c r="B52" t="s">
        <v>9</v>
      </c>
      <c r="C52">
        <v>0.22435188293457031</v>
      </c>
      <c r="D52">
        <v>6.9017589092254639</v>
      </c>
      <c r="E52" t="b">
        <v>0</v>
      </c>
      <c r="F52" s="1" t="b">
        <v>0</v>
      </c>
      <c r="G52" s="1" t="b">
        <v>0</v>
      </c>
      <c r="H52" s="1" t="b">
        <v>0</v>
      </c>
      <c r="I52" s="1" t="b">
        <v>0</v>
      </c>
      <c r="J52" s="1" t="b">
        <v>0</v>
      </c>
      <c r="K52" s="1" t="b">
        <v>0</v>
      </c>
      <c r="L52">
        <v>160.43</v>
      </c>
    </row>
    <row r="53" spans="1:12" x14ac:dyDescent="0.35">
      <c r="A53" t="s">
        <v>17</v>
      </c>
      <c r="B53" t="s">
        <v>4</v>
      </c>
      <c r="C53">
        <v>0.59919059276580811</v>
      </c>
      <c r="D53">
        <v>6.9675880670547485</v>
      </c>
      <c r="E53" t="b">
        <v>0</v>
      </c>
      <c r="F53" s="1" t="b">
        <v>0</v>
      </c>
      <c r="G53" s="1" t="b">
        <v>0</v>
      </c>
      <c r="H53" s="1" t="b">
        <v>0</v>
      </c>
      <c r="I53" s="1" t="b">
        <v>0</v>
      </c>
      <c r="J53" s="1" t="b">
        <v>0</v>
      </c>
      <c r="K53" s="1" t="b">
        <v>0</v>
      </c>
      <c r="L53">
        <v>139.06</v>
      </c>
    </row>
    <row r="54" spans="1:12" x14ac:dyDescent="0.35">
      <c r="A54" t="s">
        <v>19</v>
      </c>
      <c r="B54" t="s">
        <v>8</v>
      </c>
      <c r="C54">
        <v>0.22435188293457031</v>
      </c>
      <c r="D54">
        <v>6.9703847169876099</v>
      </c>
      <c r="E54" t="b">
        <v>0</v>
      </c>
      <c r="F54" s="1" t="b">
        <v>0</v>
      </c>
      <c r="G54" s="1" t="b">
        <v>0</v>
      </c>
      <c r="H54" s="1" t="b">
        <v>0</v>
      </c>
      <c r="I54" s="1" t="b">
        <v>0</v>
      </c>
      <c r="J54" s="1" t="b">
        <v>0</v>
      </c>
      <c r="K54" s="1" t="b">
        <v>0</v>
      </c>
      <c r="L54">
        <v>160.43</v>
      </c>
    </row>
    <row r="55" spans="1:12" x14ac:dyDescent="0.35">
      <c r="A55" t="s">
        <v>19</v>
      </c>
      <c r="B55" t="s">
        <v>7</v>
      </c>
      <c r="C55">
        <v>0.22435188293457031</v>
      </c>
      <c r="D55">
        <v>6.999552845954895</v>
      </c>
      <c r="E55" t="b">
        <v>0</v>
      </c>
      <c r="F55" s="1" t="b">
        <v>0</v>
      </c>
      <c r="G55" s="1" t="b">
        <v>0</v>
      </c>
      <c r="H55" s="1" t="b">
        <v>0</v>
      </c>
      <c r="I55" s="1" t="b">
        <v>0</v>
      </c>
      <c r="J55" s="1" t="b">
        <v>0</v>
      </c>
      <c r="K55" s="1" t="b">
        <v>0</v>
      </c>
      <c r="L55">
        <v>160.43</v>
      </c>
    </row>
    <row r="56" spans="1:12" x14ac:dyDescent="0.35">
      <c r="A56" t="s">
        <v>19</v>
      </c>
      <c r="B56" t="s">
        <v>5</v>
      </c>
      <c r="C56">
        <v>0.22435188293457031</v>
      </c>
      <c r="D56">
        <v>7.0204097032546997</v>
      </c>
      <c r="E56" t="b">
        <v>0</v>
      </c>
      <c r="F56" s="1" t="b">
        <v>0</v>
      </c>
      <c r="G56" s="1" t="b">
        <v>0</v>
      </c>
      <c r="H56" s="1" t="b">
        <v>0</v>
      </c>
      <c r="I56" s="1" t="b">
        <v>0</v>
      </c>
      <c r="J56" s="1" t="b">
        <v>0</v>
      </c>
      <c r="K56" s="1" t="b">
        <v>0</v>
      </c>
      <c r="L56">
        <v>160.43</v>
      </c>
    </row>
    <row r="57" spans="1:12" x14ac:dyDescent="0.35">
      <c r="A57" t="s">
        <v>19</v>
      </c>
      <c r="B57" t="s">
        <v>4</v>
      </c>
      <c r="C57">
        <v>0.22435188293457031</v>
      </c>
      <c r="D57">
        <v>7.0244520902633667</v>
      </c>
      <c r="E57" t="b">
        <v>0</v>
      </c>
      <c r="F57" s="1" t="b">
        <v>0</v>
      </c>
      <c r="G57" s="1" t="b">
        <v>0</v>
      </c>
      <c r="H57" s="1" t="b">
        <v>0</v>
      </c>
      <c r="I57" s="1" t="b">
        <v>0</v>
      </c>
      <c r="J57" s="1" t="b">
        <v>0</v>
      </c>
      <c r="K57" s="1" t="b">
        <v>0</v>
      </c>
      <c r="L57">
        <v>160.43</v>
      </c>
    </row>
    <row r="58" spans="1:12" x14ac:dyDescent="0.35">
      <c r="A58" s="5" t="s">
        <v>20</v>
      </c>
      <c r="B58" t="s">
        <v>6</v>
      </c>
      <c r="C58">
        <v>1.1774885654449463</v>
      </c>
      <c r="D58">
        <v>7.6909399032592773</v>
      </c>
      <c r="E58" t="b">
        <v>1</v>
      </c>
      <c r="F58" s="5" t="b">
        <f t="shared" si="2"/>
        <v>1</v>
      </c>
      <c r="G58" s="5" t="b">
        <v>1</v>
      </c>
      <c r="H58" s="6" t="b">
        <v>1</v>
      </c>
      <c r="I58" s="6" t="b">
        <v>1</v>
      </c>
      <c r="J58" s="6" t="b">
        <v>1</v>
      </c>
      <c r="K58" s="6" t="b">
        <v>1</v>
      </c>
      <c r="L58">
        <v>200.07</v>
      </c>
    </row>
    <row r="59" spans="1:12" x14ac:dyDescent="0.35">
      <c r="A59" s="5" t="s">
        <v>20</v>
      </c>
      <c r="B59" t="s">
        <v>9</v>
      </c>
      <c r="C59">
        <v>1.1774885654449463</v>
      </c>
      <c r="D59">
        <v>8.0609136819839478</v>
      </c>
      <c r="E59" t="b">
        <v>1</v>
      </c>
      <c r="F59" s="5" t="b">
        <f t="shared" si="2"/>
        <v>1</v>
      </c>
      <c r="G59" s="5" t="b">
        <v>1</v>
      </c>
      <c r="H59" s="1" t="b">
        <v>1</v>
      </c>
      <c r="I59" s="1" t="b">
        <v>1</v>
      </c>
      <c r="J59" s="1" t="b">
        <v>1</v>
      </c>
      <c r="K59" s="1" t="b">
        <v>1</v>
      </c>
      <c r="L59">
        <v>200.07</v>
      </c>
    </row>
    <row r="60" spans="1:12" x14ac:dyDescent="0.35">
      <c r="A60" s="5" t="s">
        <v>20</v>
      </c>
      <c r="B60" t="s">
        <v>10</v>
      </c>
      <c r="C60">
        <v>1.1774885654449463</v>
      </c>
      <c r="D60">
        <v>8.1618618965148926</v>
      </c>
      <c r="E60" t="b">
        <v>1</v>
      </c>
      <c r="F60" s="5" t="b">
        <f t="shared" si="2"/>
        <v>1</v>
      </c>
      <c r="G60" s="5" t="b">
        <v>1</v>
      </c>
      <c r="H60" s="1" t="b">
        <v>1</v>
      </c>
      <c r="I60" s="1" t="b">
        <v>1</v>
      </c>
      <c r="J60" s="1" t="b">
        <v>1</v>
      </c>
      <c r="K60" s="1" t="b">
        <v>1</v>
      </c>
      <c r="L60">
        <v>200.07</v>
      </c>
    </row>
    <row r="61" spans="1:12" x14ac:dyDescent="0.35">
      <c r="A61" s="8" t="s">
        <v>21</v>
      </c>
      <c r="B61" t="s">
        <v>6</v>
      </c>
      <c r="C61">
        <v>0.92213213443756104</v>
      </c>
      <c r="D61">
        <v>8.3265292644500732</v>
      </c>
      <c r="E61" t="b">
        <v>0</v>
      </c>
      <c r="F61" s="5" t="b">
        <f t="shared" si="2"/>
        <v>0</v>
      </c>
      <c r="G61" s="6" t="b">
        <v>0</v>
      </c>
      <c r="H61" s="6" t="b">
        <v>0</v>
      </c>
      <c r="I61" s="6" t="b">
        <v>0</v>
      </c>
      <c r="J61" s="6" t="b">
        <v>0</v>
      </c>
      <c r="K61" s="6" t="b">
        <v>0</v>
      </c>
      <c r="L61">
        <v>105.08</v>
      </c>
    </row>
    <row r="62" spans="1:12" x14ac:dyDescent="0.35">
      <c r="A62" s="8" t="s">
        <v>22</v>
      </c>
      <c r="B62" t="s">
        <v>6</v>
      </c>
      <c r="C62">
        <v>0.85561990737915039</v>
      </c>
      <c r="D62">
        <v>8.348497748374939</v>
      </c>
      <c r="E62" t="b">
        <v>0</v>
      </c>
      <c r="F62" s="5" t="b">
        <f t="shared" si="2"/>
        <v>0</v>
      </c>
      <c r="G62" s="6" t="b">
        <v>0</v>
      </c>
      <c r="H62" s="6" t="b">
        <v>0</v>
      </c>
      <c r="I62" s="6" t="b">
        <v>0</v>
      </c>
      <c r="J62" s="6" t="b">
        <v>0</v>
      </c>
      <c r="K62" s="6" t="b">
        <v>0</v>
      </c>
      <c r="L62">
        <v>92.11</v>
      </c>
    </row>
    <row r="63" spans="1:12" x14ac:dyDescent="0.35">
      <c r="A63" s="8" t="s">
        <v>23</v>
      </c>
      <c r="B63" t="s">
        <v>4</v>
      </c>
      <c r="C63">
        <v>0.15823245048522949</v>
      </c>
      <c r="D63">
        <v>8.3770942687988281</v>
      </c>
      <c r="E63" t="b">
        <v>0</v>
      </c>
      <c r="F63" s="6" t="b">
        <v>0</v>
      </c>
      <c r="G63" s="6" t="b">
        <v>0</v>
      </c>
      <c r="H63" s="6" t="b">
        <v>0</v>
      </c>
      <c r="I63" s="6" t="b">
        <v>0</v>
      </c>
      <c r="J63" s="6" t="b">
        <v>0</v>
      </c>
      <c r="K63" s="6" t="b">
        <v>0</v>
      </c>
      <c r="L63">
        <v>122.02</v>
      </c>
    </row>
    <row r="64" spans="1:12" x14ac:dyDescent="0.35">
      <c r="A64" t="s">
        <v>23</v>
      </c>
      <c r="B64" t="s">
        <v>5</v>
      </c>
      <c r="C64">
        <v>0.15823245048522949</v>
      </c>
      <c r="D64">
        <v>8.496207594871521</v>
      </c>
      <c r="E64" t="b">
        <v>0</v>
      </c>
      <c r="F64" s="1" t="b">
        <v>0</v>
      </c>
      <c r="G64" s="1" t="b">
        <v>0</v>
      </c>
      <c r="H64" s="1" t="b">
        <v>0</v>
      </c>
      <c r="I64" s="1" t="b">
        <v>0</v>
      </c>
      <c r="J64" s="1" t="b">
        <v>0</v>
      </c>
      <c r="K64" s="1" t="b">
        <v>0</v>
      </c>
      <c r="L64">
        <v>122.02</v>
      </c>
    </row>
    <row r="65" spans="1:12" x14ac:dyDescent="0.35">
      <c r="A65" t="s">
        <v>23</v>
      </c>
      <c r="B65" t="s">
        <v>7</v>
      </c>
      <c r="C65">
        <v>0.15823245048522949</v>
      </c>
      <c r="D65">
        <v>8.4966808557510376</v>
      </c>
      <c r="E65" t="b">
        <v>0</v>
      </c>
      <c r="F65" s="1" t="b">
        <v>0</v>
      </c>
      <c r="G65" s="1" t="b">
        <v>0</v>
      </c>
      <c r="H65" s="1" t="b">
        <v>0</v>
      </c>
      <c r="I65" s="1" t="b">
        <v>0</v>
      </c>
      <c r="J65" s="1" t="b">
        <v>0</v>
      </c>
      <c r="K65" s="1" t="b">
        <v>0</v>
      </c>
      <c r="L65">
        <v>122.02</v>
      </c>
    </row>
    <row r="66" spans="1:12" x14ac:dyDescent="0.35">
      <c r="A66" t="s">
        <v>23</v>
      </c>
      <c r="B66" t="s">
        <v>9</v>
      </c>
      <c r="C66">
        <v>0.15823245048522949</v>
      </c>
      <c r="D66">
        <v>8.5053741931915283</v>
      </c>
      <c r="E66" t="b">
        <v>0</v>
      </c>
      <c r="F66" s="1" t="b">
        <v>0</v>
      </c>
      <c r="G66" s="1" t="b">
        <v>0</v>
      </c>
      <c r="H66" s="1" t="b">
        <v>0</v>
      </c>
      <c r="I66" s="1" t="b">
        <v>0</v>
      </c>
      <c r="J66" s="1" t="b">
        <v>0</v>
      </c>
      <c r="K66" s="1" t="b">
        <v>0</v>
      </c>
      <c r="L66">
        <v>122.02</v>
      </c>
    </row>
    <row r="67" spans="1:12" x14ac:dyDescent="0.35">
      <c r="A67" t="s">
        <v>23</v>
      </c>
      <c r="B67" t="s">
        <v>6</v>
      </c>
      <c r="C67">
        <v>0.15823245048522949</v>
      </c>
      <c r="D67">
        <v>8.5214155912399292</v>
      </c>
      <c r="E67" t="b">
        <v>0</v>
      </c>
      <c r="F67" s="1" t="b">
        <v>0</v>
      </c>
      <c r="G67" s="1" t="b">
        <v>0</v>
      </c>
      <c r="H67" s="1" t="b">
        <v>0</v>
      </c>
      <c r="I67" s="1" t="b">
        <v>0</v>
      </c>
      <c r="J67" s="1" t="b">
        <v>0</v>
      </c>
      <c r="K67" s="1" t="b">
        <v>0</v>
      </c>
      <c r="L67">
        <v>122.02</v>
      </c>
    </row>
    <row r="68" spans="1:12" x14ac:dyDescent="0.35">
      <c r="A68" s="5" t="s">
        <v>20</v>
      </c>
      <c r="B68" t="s">
        <v>8</v>
      </c>
      <c r="C68">
        <v>1.1774885654449463</v>
      </c>
      <c r="D68">
        <v>8.5288834571838379</v>
      </c>
      <c r="E68" t="b">
        <v>1</v>
      </c>
      <c r="F68" s="5" t="b">
        <f t="shared" ref="F68:F92" si="3">IF(C68&gt;0.67,E68,"-")</f>
        <v>1</v>
      </c>
      <c r="G68" s="5" t="b">
        <v>1</v>
      </c>
      <c r="H68" s="1" t="b">
        <v>1</v>
      </c>
      <c r="I68" s="1" t="b">
        <v>1</v>
      </c>
      <c r="J68" s="1" t="b">
        <v>1</v>
      </c>
      <c r="K68" s="1" t="b">
        <v>1</v>
      </c>
      <c r="L68">
        <v>200.07</v>
      </c>
    </row>
    <row r="69" spans="1:12" x14ac:dyDescent="0.35">
      <c r="A69" t="s">
        <v>23</v>
      </c>
      <c r="B69" t="s">
        <v>10</v>
      </c>
      <c r="C69">
        <v>0.15823245048522949</v>
      </c>
      <c r="D69">
        <v>8.5325014591217041</v>
      </c>
      <c r="E69" t="b">
        <v>0</v>
      </c>
      <c r="F69" s="1" t="b">
        <v>0</v>
      </c>
      <c r="G69" s="1" t="b">
        <v>0</v>
      </c>
      <c r="H69" s="1" t="b">
        <v>0</v>
      </c>
      <c r="I69" s="1" t="b">
        <v>0</v>
      </c>
      <c r="J69" s="1" t="b">
        <v>0</v>
      </c>
      <c r="K69" s="1" t="b">
        <v>0</v>
      </c>
      <c r="L69">
        <v>122.02</v>
      </c>
    </row>
    <row r="70" spans="1:12" x14ac:dyDescent="0.35">
      <c r="A70" t="s">
        <v>23</v>
      </c>
      <c r="B70" t="s">
        <v>8</v>
      </c>
      <c r="C70">
        <v>0.15823245048522949</v>
      </c>
      <c r="D70">
        <v>8.5353267192840576</v>
      </c>
      <c r="E70" t="b">
        <v>0</v>
      </c>
      <c r="F70" s="1" t="b">
        <v>0</v>
      </c>
      <c r="G70" s="1" t="b">
        <v>0</v>
      </c>
      <c r="H70" s="1" t="b">
        <v>0</v>
      </c>
      <c r="I70" s="1" t="b">
        <v>0</v>
      </c>
      <c r="J70" s="1" t="b">
        <v>0</v>
      </c>
      <c r="K70" s="1" t="b">
        <v>0</v>
      </c>
      <c r="L70">
        <v>122.02</v>
      </c>
    </row>
    <row r="71" spans="1:12" x14ac:dyDescent="0.35">
      <c r="A71" t="s">
        <v>22</v>
      </c>
      <c r="B71" t="s">
        <v>9</v>
      </c>
      <c r="C71">
        <v>0.85561990737915039</v>
      </c>
      <c r="D71">
        <v>8.542211651802063</v>
      </c>
      <c r="E71" t="b">
        <v>0</v>
      </c>
      <c r="F71" s="5" t="b">
        <f t="shared" si="3"/>
        <v>0</v>
      </c>
      <c r="G71" s="1" t="b">
        <v>0</v>
      </c>
      <c r="H71" s="1" t="b">
        <v>0</v>
      </c>
      <c r="I71" s="1" t="b">
        <v>0</v>
      </c>
      <c r="J71" s="1" t="b">
        <v>0</v>
      </c>
      <c r="K71" s="1" t="b">
        <v>0</v>
      </c>
      <c r="L71">
        <v>92.11</v>
      </c>
    </row>
    <row r="72" spans="1:12" x14ac:dyDescent="0.35">
      <c r="A72" t="s">
        <v>21</v>
      </c>
      <c r="B72" t="s">
        <v>9</v>
      </c>
      <c r="C72">
        <v>0.92213213443756104</v>
      </c>
      <c r="D72">
        <v>8.5659283399581909</v>
      </c>
      <c r="E72" t="b">
        <v>0</v>
      </c>
      <c r="F72" s="5" t="b">
        <f t="shared" si="3"/>
        <v>0</v>
      </c>
      <c r="G72" s="1" t="b">
        <v>0</v>
      </c>
      <c r="H72" s="1" t="b">
        <v>0</v>
      </c>
      <c r="I72" s="1" t="b">
        <v>0</v>
      </c>
      <c r="J72" s="1" t="b">
        <v>0</v>
      </c>
      <c r="K72" s="1" t="b">
        <v>0</v>
      </c>
      <c r="L72">
        <v>105.08</v>
      </c>
    </row>
    <row r="73" spans="1:12" x14ac:dyDescent="0.35">
      <c r="A73" t="s">
        <v>22</v>
      </c>
      <c r="B73" t="s">
        <v>10</v>
      </c>
      <c r="C73">
        <v>0.85561990737915039</v>
      </c>
      <c r="D73">
        <v>8.5989749431610107</v>
      </c>
      <c r="E73" t="b">
        <v>0</v>
      </c>
      <c r="F73" s="5" t="b">
        <f t="shared" si="3"/>
        <v>0</v>
      </c>
      <c r="G73" s="1" t="b">
        <v>0</v>
      </c>
      <c r="H73" s="1" t="b">
        <v>0</v>
      </c>
      <c r="I73" s="1" t="b">
        <v>0</v>
      </c>
      <c r="J73" s="1" t="b">
        <v>0</v>
      </c>
      <c r="K73" s="1" t="b">
        <v>0</v>
      </c>
      <c r="L73">
        <v>92.11</v>
      </c>
    </row>
    <row r="74" spans="1:12" x14ac:dyDescent="0.35">
      <c r="A74" s="8" t="s">
        <v>24</v>
      </c>
      <c r="B74" t="s">
        <v>4</v>
      </c>
      <c r="C74">
        <v>3.6838054656982422E-2</v>
      </c>
      <c r="D74">
        <v>8.6086666584014893</v>
      </c>
      <c r="E74" t="b">
        <v>0</v>
      </c>
      <c r="F74" s="6" t="b">
        <v>0</v>
      </c>
      <c r="G74" s="6" t="b">
        <v>0</v>
      </c>
      <c r="H74" s="6" t="b">
        <v>0</v>
      </c>
      <c r="I74" s="6" t="b">
        <v>0</v>
      </c>
      <c r="J74" s="6" t="b">
        <v>0</v>
      </c>
      <c r="K74" s="6" t="b">
        <v>0</v>
      </c>
      <c r="L74">
        <v>188.35</v>
      </c>
    </row>
    <row r="75" spans="1:12" x14ac:dyDescent="0.35">
      <c r="A75" t="s">
        <v>24</v>
      </c>
      <c r="B75" t="s">
        <v>5</v>
      </c>
      <c r="C75">
        <v>3.6838054656982422E-2</v>
      </c>
      <c r="D75">
        <v>8.609427809715271</v>
      </c>
      <c r="E75" t="b">
        <v>0</v>
      </c>
      <c r="F75" s="1" t="b">
        <v>0</v>
      </c>
      <c r="G75" s="1" t="b">
        <v>0</v>
      </c>
      <c r="H75" s="1" t="b">
        <v>0</v>
      </c>
      <c r="I75" s="1" t="b">
        <v>0</v>
      </c>
      <c r="J75" s="1" t="b">
        <v>0</v>
      </c>
      <c r="K75" s="1" t="b">
        <v>0</v>
      </c>
      <c r="L75">
        <v>188.35</v>
      </c>
    </row>
    <row r="76" spans="1:12" x14ac:dyDescent="0.35">
      <c r="A76" t="s">
        <v>24</v>
      </c>
      <c r="B76" t="s">
        <v>8</v>
      </c>
      <c r="C76">
        <v>3.6838054656982422E-2</v>
      </c>
      <c r="D76">
        <v>8.6141979694366455</v>
      </c>
      <c r="E76" t="b">
        <v>0</v>
      </c>
      <c r="F76" s="1" t="b">
        <v>0</v>
      </c>
      <c r="G76" s="1" t="b">
        <v>0</v>
      </c>
      <c r="H76" s="1" t="b">
        <v>0</v>
      </c>
      <c r="I76" s="1" t="b">
        <v>0</v>
      </c>
      <c r="J76" s="1" t="b">
        <v>0</v>
      </c>
      <c r="K76" s="1" t="b">
        <v>0</v>
      </c>
      <c r="L76">
        <v>188.35</v>
      </c>
    </row>
    <row r="77" spans="1:12" x14ac:dyDescent="0.35">
      <c r="A77" t="s">
        <v>24</v>
      </c>
      <c r="B77" t="s">
        <v>7</v>
      </c>
      <c r="C77">
        <v>3.6838054656982422E-2</v>
      </c>
      <c r="D77">
        <v>8.6189961433410645</v>
      </c>
      <c r="E77" t="b">
        <v>0</v>
      </c>
      <c r="F77" s="1" t="b">
        <v>0</v>
      </c>
      <c r="G77" s="1" t="b">
        <v>0</v>
      </c>
      <c r="H77" s="1" t="b">
        <v>0</v>
      </c>
      <c r="I77" s="1" t="b">
        <v>0</v>
      </c>
      <c r="J77" s="1" t="b">
        <v>0</v>
      </c>
      <c r="K77" s="1" t="b">
        <v>0</v>
      </c>
      <c r="L77">
        <v>188.35</v>
      </c>
    </row>
    <row r="78" spans="1:12" x14ac:dyDescent="0.35">
      <c r="A78" t="s">
        <v>24</v>
      </c>
      <c r="B78" t="s">
        <v>9</v>
      </c>
      <c r="C78">
        <v>3.6838054656982422E-2</v>
      </c>
      <c r="D78">
        <v>8.6292803287506104</v>
      </c>
      <c r="E78" t="b">
        <v>0</v>
      </c>
      <c r="F78" s="1" t="b">
        <v>0</v>
      </c>
      <c r="G78" s="1" t="b">
        <v>0</v>
      </c>
      <c r="H78" s="1" t="b">
        <v>0</v>
      </c>
      <c r="I78" s="1" t="b">
        <v>0</v>
      </c>
      <c r="J78" s="1" t="b">
        <v>0</v>
      </c>
      <c r="K78" s="1" t="b">
        <v>0</v>
      </c>
      <c r="L78">
        <v>188.35</v>
      </c>
    </row>
    <row r="79" spans="1:12" x14ac:dyDescent="0.35">
      <c r="A79" t="s">
        <v>21</v>
      </c>
      <c r="B79" t="s">
        <v>10</v>
      </c>
      <c r="C79">
        <v>0.92213213443756104</v>
      </c>
      <c r="D79">
        <v>8.6302822828292847</v>
      </c>
      <c r="E79" t="b">
        <v>0</v>
      </c>
      <c r="F79" s="5" t="b">
        <f t="shared" si="3"/>
        <v>0</v>
      </c>
      <c r="G79" s="1" t="b">
        <v>0</v>
      </c>
      <c r="H79" s="1" t="b">
        <v>0</v>
      </c>
      <c r="I79" s="1" t="b">
        <v>0</v>
      </c>
      <c r="J79" s="1" t="b">
        <v>0</v>
      </c>
      <c r="K79" s="1" t="b">
        <v>0</v>
      </c>
      <c r="L79">
        <v>105.08</v>
      </c>
    </row>
    <row r="80" spans="1:12" x14ac:dyDescent="0.35">
      <c r="A80" t="s">
        <v>24</v>
      </c>
      <c r="B80" t="s">
        <v>6</v>
      </c>
      <c r="C80">
        <v>3.6838054656982422E-2</v>
      </c>
      <c r="D80">
        <v>8.6338788270950317</v>
      </c>
      <c r="E80" t="b">
        <v>0</v>
      </c>
      <c r="F80" s="1" t="b">
        <v>0</v>
      </c>
      <c r="G80" s="1" t="b">
        <v>0</v>
      </c>
      <c r="H80" s="1" t="b">
        <v>0</v>
      </c>
      <c r="I80" s="1" t="b">
        <v>0</v>
      </c>
      <c r="J80" s="1" t="b">
        <v>0</v>
      </c>
      <c r="K80" s="1" t="b">
        <v>0</v>
      </c>
      <c r="L80">
        <v>188.35</v>
      </c>
    </row>
    <row r="81" spans="1:12" x14ac:dyDescent="0.35">
      <c r="A81" t="s">
        <v>24</v>
      </c>
      <c r="B81" t="s">
        <v>10</v>
      </c>
      <c r="C81">
        <v>3.6838054656982422E-2</v>
      </c>
      <c r="D81">
        <v>8.6455047130584717</v>
      </c>
      <c r="E81" t="b">
        <v>0</v>
      </c>
      <c r="F81" s="1" t="b">
        <v>0</v>
      </c>
      <c r="G81" s="1" t="b">
        <v>0</v>
      </c>
      <c r="H81" s="1" t="b">
        <v>0</v>
      </c>
      <c r="I81" s="1" t="b">
        <v>0</v>
      </c>
      <c r="J81" s="1" t="b">
        <v>0</v>
      </c>
      <c r="K81" s="1" t="b">
        <v>0</v>
      </c>
      <c r="L81">
        <v>188.35</v>
      </c>
    </row>
    <row r="82" spans="1:12" x14ac:dyDescent="0.35">
      <c r="A82" s="5" t="s">
        <v>20</v>
      </c>
      <c r="B82" t="s">
        <v>5</v>
      </c>
      <c r="C82">
        <v>1.1774885654449463</v>
      </c>
      <c r="D82">
        <v>8.8456118106842041</v>
      </c>
      <c r="E82" t="b">
        <v>1</v>
      </c>
      <c r="F82" s="5" t="b">
        <f t="shared" si="3"/>
        <v>1</v>
      </c>
      <c r="G82" s="5" t="b">
        <v>1</v>
      </c>
      <c r="H82" s="1" t="b">
        <v>1</v>
      </c>
      <c r="I82" s="1" t="b">
        <v>1</v>
      </c>
      <c r="J82" s="1" t="b">
        <v>1</v>
      </c>
      <c r="K82" s="1" t="b">
        <v>1</v>
      </c>
      <c r="L82">
        <v>200.07</v>
      </c>
    </row>
    <row r="83" spans="1:12" x14ac:dyDescent="0.35">
      <c r="A83" s="5" t="s">
        <v>20</v>
      </c>
      <c r="B83" t="s">
        <v>7</v>
      </c>
      <c r="C83">
        <v>1.1774885654449463</v>
      </c>
      <c r="D83">
        <v>8.8456118106842041</v>
      </c>
      <c r="E83" t="b">
        <v>1</v>
      </c>
      <c r="F83" s="5" t="b">
        <f t="shared" si="3"/>
        <v>1</v>
      </c>
      <c r="G83" s="5" t="b">
        <v>1</v>
      </c>
      <c r="H83" s="1" t="b">
        <v>1</v>
      </c>
      <c r="I83" s="1" t="b">
        <v>1</v>
      </c>
      <c r="J83" s="1" t="b">
        <v>1</v>
      </c>
      <c r="K83" s="1" t="b">
        <v>1</v>
      </c>
      <c r="L83">
        <v>200.07</v>
      </c>
    </row>
    <row r="84" spans="1:12" x14ac:dyDescent="0.35">
      <c r="A84" t="s">
        <v>21</v>
      </c>
      <c r="B84" t="s">
        <v>8</v>
      </c>
      <c r="C84">
        <v>0.92213213443756104</v>
      </c>
      <c r="D84">
        <v>8.8553321361541748</v>
      </c>
      <c r="E84" t="b">
        <v>0</v>
      </c>
      <c r="F84" s="5" t="b">
        <f t="shared" si="3"/>
        <v>0</v>
      </c>
      <c r="G84" s="1" t="b">
        <v>0</v>
      </c>
      <c r="H84" s="1" t="b">
        <v>0</v>
      </c>
      <c r="I84" s="1" t="b">
        <v>0</v>
      </c>
      <c r="J84" s="1" t="b">
        <v>0</v>
      </c>
      <c r="K84" s="1" t="b">
        <v>0</v>
      </c>
      <c r="L84">
        <v>105.08</v>
      </c>
    </row>
    <row r="85" spans="1:12" x14ac:dyDescent="0.35">
      <c r="A85" t="s">
        <v>22</v>
      </c>
      <c r="B85" t="s">
        <v>8</v>
      </c>
      <c r="C85">
        <v>0.85561990737915039</v>
      </c>
      <c r="D85">
        <v>8.8655680418014526</v>
      </c>
      <c r="E85" t="b">
        <v>0</v>
      </c>
      <c r="F85" s="5" t="b">
        <f t="shared" si="3"/>
        <v>0</v>
      </c>
      <c r="G85" s="1" t="b">
        <v>0</v>
      </c>
      <c r="H85" s="1" t="b">
        <v>0</v>
      </c>
      <c r="I85" s="1" t="b">
        <v>0</v>
      </c>
      <c r="J85" s="1" t="b">
        <v>0</v>
      </c>
      <c r="K85" s="1" t="b">
        <v>0</v>
      </c>
      <c r="L85">
        <v>92.11</v>
      </c>
    </row>
    <row r="86" spans="1:12" x14ac:dyDescent="0.35">
      <c r="A86" s="5" t="s">
        <v>20</v>
      </c>
      <c r="B86" t="s">
        <v>4</v>
      </c>
      <c r="C86">
        <v>1.1774885654449463</v>
      </c>
      <c r="D86">
        <v>8.8684284687042236</v>
      </c>
      <c r="E86" t="b">
        <v>1</v>
      </c>
      <c r="F86" s="5" t="b">
        <f t="shared" si="3"/>
        <v>1</v>
      </c>
      <c r="G86" s="5" t="b">
        <v>1</v>
      </c>
      <c r="H86" s="1" t="b">
        <v>1</v>
      </c>
      <c r="I86" s="1" t="b">
        <v>1</v>
      </c>
      <c r="J86" s="1" t="b">
        <v>1</v>
      </c>
      <c r="K86" s="1" t="b">
        <v>1</v>
      </c>
      <c r="L86">
        <v>200.07</v>
      </c>
    </row>
    <row r="87" spans="1:12" x14ac:dyDescent="0.35">
      <c r="A87" t="s">
        <v>22</v>
      </c>
      <c r="B87" t="s">
        <v>7</v>
      </c>
      <c r="C87">
        <v>0.85561990737915039</v>
      </c>
      <c r="D87">
        <v>8.9783728122711182</v>
      </c>
      <c r="E87" t="b">
        <v>0</v>
      </c>
      <c r="F87" s="5" t="b">
        <f t="shared" si="3"/>
        <v>0</v>
      </c>
      <c r="G87" s="1" t="b">
        <v>0</v>
      </c>
      <c r="H87" s="1" t="b">
        <v>0</v>
      </c>
      <c r="I87" s="1" t="b">
        <v>0</v>
      </c>
      <c r="J87" s="1" t="b">
        <v>0</v>
      </c>
      <c r="K87" s="1" t="b">
        <v>0</v>
      </c>
      <c r="L87">
        <v>92.11</v>
      </c>
    </row>
    <row r="88" spans="1:12" x14ac:dyDescent="0.35">
      <c r="A88" t="s">
        <v>21</v>
      </c>
      <c r="B88" t="s">
        <v>7</v>
      </c>
      <c r="C88">
        <v>0.92213213443756104</v>
      </c>
      <c r="D88">
        <v>9.0207785367965698</v>
      </c>
      <c r="E88" t="b">
        <v>0</v>
      </c>
      <c r="F88" s="5" t="b">
        <f t="shared" si="3"/>
        <v>0</v>
      </c>
      <c r="G88" s="1" t="b">
        <v>0</v>
      </c>
      <c r="H88" s="1" t="b">
        <v>0</v>
      </c>
      <c r="I88" s="1" t="b">
        <v>0</v>
      </c>
      <c r="J88" s="1" t="b">
        <v>0</v>
      </c>
      <c r="K88" s="1" t="b">
        <v>0</v>
      </c>
      <c r="L88">
        <v>105.08</v>
      </c>
    </row>
    <row r="89" spans="1:12" x14ac:dyDescent="0.35">
      <c r="A89" t="s">
        <v>22</v>
      </c>
      <c r="B89" t="s">
        <v>5</v>
      </c>
      <c r="C89">
        <v>0.85561990737915039</v>
      </c>
      <c r="D89">
        <v>9.1378933191299438</v>
      </c>
      <c r="E89" t="b">
        <v>0</v>
      </c>
      <c r="F89" s="5" t="b">
        <f t="shared" si="3"/>
        <v>0</v>
      </c>
      <c r="G89" s="1" t="b">
        <v>0</v>
      </c>
      <c r="H89" s="1" t="b">
        <v>0</v>
      </c>
      <c r="I89" s="1" t="b">
        <v>0</v>
      </c>
      <c r="J89" s="1" t="b">
        <v>0</v>
      </c>
      <c r="K89" s="1" t="b">
        <v>0</v>
      </c>
      <c r="L89">
        <v>92.11</v>
      </c>
    </row>
    <row r="90" spans="1:12" x14ac:dyDescent="0.35">
      <c r="A90" t="s">
        <v>21</v>
      </c>
      <c r="B90" t="s">
        <v>5</v>
      </c>
      <c r="C90">
        <v>0.92213213443756104</v>
      </c>
      <c r="D90">
        <v>9.2010915279388428</v>
      </c>
      <c r="E90" t="b">
        <v>0</v>
      </c>
      <c r="F90" s="5" t="b">
        <f t="shared" si="3"/>
        <v>0</v>
      </c>
      <c r="G90" s="1" t="b">
        <v>0</v>
      </c>
      <c r="H90" s="1" t="b">
        <v>0</v>
      </c>
      <c r="I90" s="1" t="b">
        <v>0</v>
      </c>
      <c r="J90" s="1" t="b">
        <v>0</v>
      </c>
      <c r="K90" s="1" t="b">
        <v>0</v>
      </c>
      <c r="L90">
        <v>105.08</v>
      </c>
    </row>
    <row r="91" spans="1:12" x14ac:dyDescent="0.35">
      <c r="A91" t="s">
        <v>22</v>
      </c>
      <c r="B91" t="s">
        <v>4</v>
      </c>
      <c r="C91">
        <v>0.85561990737915039</v>
      </c>
      <c r="D91">
        <v>9.2041176557540894</v>
      </c>
      <c r="E91" t="b">
        <v>0</v>
      </c>
      <c r="F91" s="5" t="b">
        <f t="shared" si="3"/>
        <v>0</v>
      </c>
      <c r="G91" s="1" t="b">
        <v>0</v>
      </c>
      <c r="H91" s="1" t="b">
        <v>0</v>
      </c>
      <c r="I91" s="1" t="b">
        <v>0</v>
      </c>
      <c r="J91" s="1" t="b">
        <v>0</v>
      </c>
      <c r="K91" s="1" t="b">
        <v>0</v>
      </c>
      <c r="L91">
        <v>92.11</v>
      </c>
    </row>
    <row r="92" spans="1:12" x14ac:dyDescent="0.35">
      <c r="A92" t="s">
        <v>21</v>
      </c>
      <c r="B92" t="s">
        <v>4</v>
      </c>
      <c r="C92">
        <v>0.92213213443756104</v>
      </c>
      <c r="D92">
        <v>9.2486613988876343</v>
      </c>
      <c r="E92" t="b">
        <v>0</v>
      </c>
      <c r="F92" s="5" t="b">
        <f t="shared" si="3"/>
        <v>0</v>
      </c>
      <c r="G92" s="1" t="b">
        <v>0</v>
      </c>
      <c r="H92" s="1" t="b">
        <v>0</v>
      </c>
      <c r="I92" s="1" t="b">
        <v>0</v>
      </c>
      <c r="J92" s="1" t="b">
        <v>0</v>
      </c>
      <c r="K92" s="1" t="b">
        <v>0</v>
      </c>
      <c r="L92">
        <v>105.08</v>
      </c>
    </row>
    <row r="93" spans="1:12" x14ac:dyDescent="0.35">
      <c r="F93" cm="1">
        <f t="array" ref="F93">SUM(--(E2:E92=F2:F92))</f>
        <v>90</v>
      </c>
      <c r="G93" cm="1">
        <f t="array" ref="G93">SUM(--(E2:E92=G2:G92))</f>
        <v>86</v>
      </c>
      <c r="H93" cm="1">
        <f t="array" ref="H93">SUM(--(E2:E92=H2:H92))</f>
        <v>86</v>
      </c>
      <c r="I93" cm="1">
        <f t="array" ref="I93">SUM(--(E2:E92=I2:I92))</f>
        <v>85</v>
      </c>
      <c r="J93" cm="1">
        <f t="array" ref="J93">SUM(--(E2:E92=J2:J92))</f>
        <v>84</v>
      </c>
      <c r="K93" cm="1">
        <f t="array" ref="K93">SUM(--(E2:E92=K2:K92))</f>
        <v>84</v>
      </c>
    </row>
    <row r="94" spans="1:12" x14ac:dyDescent="0.35">
      <c r="F94">
        <f>COUNTIFS(E2:E92,TRUE,F2:F92,TRUE) / COUNTIF(E2:E92,TRUE)</f>
        <v>0.96969696969696972</v>
      </c>
      <c r="G94">
        <f>COUNTIFS(E2:E92,TRUE,G2:G92,TRUE) / COUNTIF(E2:E92,TRUE)</f>
        <v>0.84848484848484851</v>
      </c>
      <c r="H94">
        <f>COUNTIFS(E2:E92,TRUE,H2:H92,TRUE) / COUNTIF(E2:E92,TRUE)</f>
        <v>0.84848484848484851</v>
      </c>
      <c r="I94">
        <f>COUNTIFS(E2:E92,TRUE,I2:I92,TRUE) / COUNTIF(E2:E92,TRUE)</f>
        <v>0.81818181818181823</v>
      </c>
      <c r="J94">
        <f>COUNTIFS(E2:E92,TRUE,J2:J92,TRUE) / COUNTIF(E2:E92,TRUE)</f>
        <v>0.81818181818181823</v>
      </c>
      <c r="K94">
        <f>COUNTIFS(E2:E92,TRUE,K2:K92,TRUE) / COUNTIF(E2:E92,TRUE)</f>
        <v>0.81818181818181823</v>
      </c>
    </row>
    <row r="96" spans="1:12" x14ac:dyDescent="0.35">
      <c r="D96" s="9" t="s">
        <v>32</v>
      </c>
      <c r="E96" s="9"/>
      <c r="F96">
        <f>SUM(L2:L30,L34:L37,L39,L46:L47,L49:L50,L58:L63,L68,L71:L74,L79,L82:L92)</f>
        <v>7442.0199999999986</v>
      </c>
      <c r="G96">
        <f>SUM(L2:L26,L30,L34,L36:L37,L39,L47,L50,L58:L63,L68,L74,L82:L83,L86)</f>
        <v>5640.7</v>
      </c>
      <c r="H96">
        <f>SUM(L2:L26,L30,L34,L36:L37,L39,L47,L50,L58,L61:L63,L74)</f>
        <v>4440.2800000000016</v>
      </c>
      <c r="I96">
        <f>SUM(L2:L8,L10:L12,L14:L15,L17:L19,L22:L24,L26,L30,L34,L36:L37,L39,L47,L50,L58,L61:L63,L74)</f>
        <v>3725.7400000000011</v>
      </c>
      <c r="J96">
        <f>SUM(L2:L8,L12,L18:L19,L26,L30,L39,L50,L58,L61:L63,L74)</f>
        <v>2272.96</v>
      </c>
      <c r="K96">
        <f>SUM(L2,L5,L8,L18,L26,L30,L39,L50,L58,L61:L63,L74)</f>
        <v>1718.6199999999997</v>
      </c>
    </row>
    <row r="97" spans="4:12" x14ac:dyDescent="0.35">
      <c r="D97" s="9" t="s">
        <v>33</v>
      </c>
      <c r="E97" s="9"/>
      <c r="F97">
        <f>L102-F96</f>
        <v>4588.3200000000088</v>
      </c>
      <c r="G97">
        <f>L102-G96</f>
        <v>6389.6400000000076</v>
      </c>
      <c r="H97">
        <f>L102-H96</f>
        <v>7590.0600000000059</v>
      </c>
      <c r="I97">
        <f>L102-I96</f>
        <v>8304.6000000000058</v>
      </c>
      <c r="J97">
        <f>L102-J96</f>
        <v>9757.3800000000083</v>
      </c>
      <c r="K97">
        <f>L102-K96</f>
        <v>10311.720000000008</v>
      </c>
    </row>
    <row r="102" spans="4:12" x14ac:dyDescent="0.35">
      <c r="L102">
        <v>12030.340000000007</v>
      </c>
    </row>
  </sheetData>
  <mergeCells count="2">
    <mergeCell ref="D96:E96"/>
    <mergeCell ref="D97:E9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CARMINATI</dc:creator>
  <cp:lastModifiedBy>LUCA CARMINATI</cp:lastModifiedBy>
  <dcterms:created xsi:type="dcterms:W3CDTF">2025-11-10T17:03:30Z</dcterms:created>
  <dcterms:modified xsi:type="dcterms:W3CDTF">2025-11-17T16:15:51Z</dcterms:modified>
</cp:coreProperties>
</file>