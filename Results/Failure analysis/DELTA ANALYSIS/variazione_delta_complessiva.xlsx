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Luca\Desktop\RQ2 - FAILURE ANALYSIS\DELTA ANALYSIS\"/>
    </mc:Choice>
  </mc:AlternateContent>
  <xr:revisionPtr revIDLastSave="0" documentId="13_ncr:1_{C313E205-AD8B-434B-9348-328A8615AF2C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8" i="1" l="1"/>
  <c r="P7" i="1"/>
  <c r="P6" i="1"/>
  <c r="P5" i="1"/>
  <c r="P4" i="1"/>
  <c r="P3" i="1"/>
  <c r="O8" i="1"/>
  <c r="O7" i="1"/>
  <c r="O6" i="1"/>
  <c r="O5" i="1"/>
  <c r="O4" i="1"/>
  <c r="O3" i="1"/>
  <c r="N8" i="1"/>
  <c r="N7" i="1"/>
  <c r="N6" i="1"/>
  <c r="N5" i="1"/>
  <c r="N4" i="1"/>
  <c r="N2" i="1"/>
  <c r="N3" i="1"/>
  <c r="M2" i="1"/>
  <c r="M8" i="1"/>
  <c r="M7" i="1"/>
  <c r="M6" i="1"/>
  <c r="M5" i="1"/>
  <c r="M4" i="1"/>
  <c r="M3" i="1"/>
  <c r="I3" i="1"/>
  <c r="I4" i="1"/>
  <c r="I5" i="1"/>
  <c r="I6" i="1"/>
  <c r="I7" i="1"/>
  <c r="I8" i="1"/>
  <c r="I2" i="1"/>
  <c r="H8" i="1"/>
  <c r="H3" i="1"/>
  <c r="H4" i="1"/>
  <c r="H5" i="1"/>
  <c r="H6" i="1"/>
  <c r="H7" i="1"/>
  <c r="H2" i="1"/>
  <c r="F3" i="1"/>
  <c r="F8" i="1"/>
  <c r="F7" i="1"/>
  <c r="F6" i="1"/>
  <c r="F5" i="1"/>
  <c r="F4" i="1"/>
  <c r="F2" i="1"/>
</calcChain>
</file>

<file path=xl/sharedStrings.xml><?xml version="1.0" encoding="utf-8"?>
<sst xmlns="http://schemas.openxmlformats.org/spreadsheetml/2006/main" count="15" uniqueCount="15">
  <si>
    <t>ACC OTA 1</t>
  </si>
  <si>
    <t>ACC OTA 2</t>
  </si>
  <si>
    <t xml:space="preserve">LKA OTA 1 </t>
  </si>
  <si>
    <t>LKA OTA 2</t>
  </si>
  <si>
    <t>LKA OTA 3</t>
  </si>
  <si>
    <t>MEDIA</t>
  </si>
  <si>
    <t>DELTA</t>
  </si>
  <si>
    <t>MEDIA ACC</t>
  </si>
  <si>
    <t>MEDIA LKA</t>
  </si>
  <si>
    <t>DELTA ACC</t>
  </si>
  <si>
    <t>DELTA LKA</t>
  </si>
  <si>
    <t>PERCENTUALE SIMULAZIONI ESEGUITE ACC</t>
  </si>
  <si>
    <t>PERCENTUALE SIMULAZIONI ESEGUITE LKA</t>
  </si>
  <si>
    <t>TEMPO RISPARMIATO ACC</t>
  </si>
  <si>
    <t>TEMPO RISPARMIATO LKA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</si>
</sst>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"/>
  <sheetViews>
    <sheetView tabSelected="1" topLeftCell="F1" workbookViewId="0">
      <selection activeCell="P9" sqref="P9"/>
    </sheetView>
  </sheetViews>
  <sheetFormatPr defaultRowHeight="14.5" x14ac:dyDescent="0.35"/>
  <cols>
    <col min="1" max="2" width="9.6328125" bestFit="1" customWidth="1"/>
    <col min="3" max="3" width="9.7265625" bestFit="1" customWidth="1"/>
    <col min="4" max="5" width="9.26953125" bestFit="1" customWidth="1"/>
    <col min="8" max="8" width="10.36328125" bestFit="1" customWidth="1"/>
    <col min="9" max="9" width="10" bestFit="1" customWidth="1"/>
    <col min="10" max="10" width="9.90625" bestFit="1" customWidth="1"/>
    <col min="11" max="11" width="9.54296875" bestFit="1" customWidth="1"/>
    <col min="13" max="14" width="36.90625" bestFit="1" customWidth="1"/>
    <col min="15" max="15" width="23.08984375" bestFit="1" customWidth="1"/>
    <col min="16" max="16" width="22.7265625" bestFit="1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5">
      <c r="A2">
        <v>100</v>
      </c>
      <c r="B2">
        <v>100</v>
      </c>
      <c r="C2">
        <v>100</v>
      </c>
      <c r="D2">
        <v>100</v>
      </c>
      <c r="E2">
        <v>100</v>
      </c>
      <c r="F2">
        <f t="shared" ref="F2:F8" si="0">SUM(A2:E2)/5</f>
        <v>100</v>
      </c>
      <c r="G2">
        <v>1</v>
      </c>
      <c r="H2">
        <f>SUM(A2:B2)/2</f>
        <v>100</v>
      </c>
      <c r="I2">
        <f>SUM(C2:E2)/3</f>
        <v>100</v>
      </c>
      <c r="J2">
        <v>0</v>
      </c>
      <c r="K2">
        <v>0</v>
      </c>
      <c r="M2">
        <f>133/133</f>
        <v>1</v>
      </c>
      <c r="N2">
        <f>91/91</f>
        <v>1</v>
      </c>
      <c r="O2">
        <v>0</v>
      </c>
      <c r="P2">
        <v>0</v>
      </c>
    </row>
    <row r="3" spans="1:16" x14ac:dyDescent="0.35">
      <c r="A3">
        <v>100</v>
      </c>
      <c r="B3">
        <v>100</v>
      </c>
      <c r="C3">
        <v>96.96</v>
      </c>
      <c r="D3">
        <v>72</v>
      </c>
      <c r="E3">
        <v>100</v>
      </c>
      <c r="F3">
        <f t="shared" si="0"/>
        <v>93.792000000000002</v>
      </c>
      <c r="G3">
        <v>2</v>
      </c>
      <c r="H3">
        <f t="shared" ref="H3:H7" si="1">SUM(A3:B3)/2</f>
        <v>100</v>
      </c>
      <c r="I3">
        <f t="shared" ref="I3:I8" si="2">SUM(C3:E3)/3</f>
        <v>89.653333333333322</v>
      </c>
      <c r="J3">
        <v>1</v>
      </c>
      <c r="K3">
        <v>0.67</v>
      </c>
      <c r="M3">
        <f>85/133</f>
        <v>0.63909774436090228</v>
      </c>
      <c r="N3">
        <f>62/91</f>
        <v>0.68131868131868134</v>
      </c>
      <c r="O3">
        <f>5836.23*2</f>
        <v>11672.46</v>
      </c>
      <c r="P3">
        <f>4588.32000000001*3</f>
        <v>13764.960000000028</v>
      </c>
    </row>
    <row r="4" spans="1:16" x14ac:dyDescent="0.35">
      <c r="A4">
        <v>100</v>
      </c>
      <c r="B4">
        <v>100</v>
      </c>
      <c r="C4">
        <v>84.84</v>
      </c>
      <c r="D4">
        <v>52</v>
      </c>
      <c r="E4">
        <v>100</v>
      </c>
      <c r="F4">
        <f t="shared" si="0"/>
        <v>87.368000000000009</v>
      </c>
      <c r="G4">
        <v>3</v>
      </c>
      <c r="H4">
        <f t="shared" si="1"/>
        <v>100</v>
      </c>
      <c r="I4">
        <f t="shared" si="2"/>
        <v>78.946666666666673</v>
      </c>
      <c r="J4">
        <v>5</v>
      </c>
      <c r="K4">
        <v>1</v>
      </c>
      <c r="M4">
        <f>73/133</f>
        <v>0.54887218045112784</v>
      </c>
      <c r="N4">
        <f>43/91</f>
        <v>0.47252747252747251</v>
      </c>
      <c r="O4">
        <f>7368.27000000001*2</f>
        <v>14736.540000000021</v>
      </c>
      <c r="P4">
        <f>3*6389.64000000001</f>
        <v>19168.920000000031</v>
      </c>
    </row>
    <row r="5" spans="1:16" x14ac:dyDescent="0.35">
      <c r="A5">
        <v>86.95</v>
      </c>
      <c r="B5">
        <v>96.65</v>
      </c>
      <c r="C5">
        <v>84.84</v>
      </c>
      <c r="D5">
        <v>48</v>
      </c>
      <c r="E5">
        <v>100</v>
      </c>
      <c r="F5">
        <f t="shared" si="0"/>
        <v>83.288000000000011</v>
      </c>
      <c r="G5">
        <v>4</v>
      </c>
      <c r="H5">
        <f t="shared" si="1"/>
        <v>91.800000000000011</v>
      </c>
      <c r="I5">
        <f t="shared" si="2"/>
        <v>77.61333333333333</v>
      </c>
      <c r="J5">
        <v>10</v>
      </c>
      <c r="K5">
        <v>1.4</v>
      </c>
      <c r="M5">
        <f>43/133</f>
        <v>0.32330827067669171</v>
      </c>
      <c r="N5">
        <f>37/91</f>
        <v>0.40659340659340659</v>
      </c>
      <c r="O5">
        <f>10762.17*2</f>
        <v>21524.34</v>
      </c>
      <c r="P5">
        <f>3*7590.06000000001</f>
        <v>22770.180000000029</v>
      </c>
    </row>
    <row r="6" spans="1:16" x14ac:dyDescent="0.35">
      <c r="A6">
        <v>86.95</v>
      </c>
      <c r="B6">
        <v>95.65</v>
      </c>
      <c r="C6">
        <v>81.81</v>
      </c>
      <c r="D6">
        <v>36</v>
      </c>
      <c r="E6">
        <v>100</v>
      </c>
      <c r="F6">
        <f t="shared" si="0"/>
        <v>80.082000000000008</v>
      </c>
      <c r="G6">
        <v>5</v>
      </c>
      <c r="H6">
        <f t="shared" si="1"/>
        <v>91.300000000000011</v>
      </c>
      <c r="I6">
        <f t="shared" si="2"/>
        <v>72.603333333333339</v>
      </c>
      <c r="J6">
        <v>20</v>
      </c>
      <c r="K6">
        <v>1.7</v>
      </c>
      <c r="M6">
        <f>31/133</f>
        <v>0.23308270676691728</v>
      </c>
      <c r="N6">
        <f>31/91</f>
        <v>0.34065934065934067</v>
      </c>
      <c r="O6">
        <f>12495.57*2</f>
        <v>24991.14</v>
      </c>
      <c r="P6">
        <f>3*8304.60000000001</f>
        <v>24913.800000000028</v>
      </c>
    </row>
    <row r="7" spans="1:16" x14ac:dyDescent="0.35">
      <c r="A7">
        <v>86.95</v>
      </c>
      <c r="B7">
        <v>95.65</v>
      </c>
      <c r="C7">
        <v>81.81</v>
      </c>
      <c r="D7">
        <v>32</v>
      </c>
      <c r="E7">
        <v>100</v>
      </c>
      <c r="F7">
        <f t="shared" si="0"/>
        <v>79.282000000000011</v>
      </c>
      <c r="G7">
        <v>6</v>
      </c>
      <c r="H7">
        <f t="shared" si="1"/>
        <v>91.300000000000011</v>
      </c>
      <c r="I7">
        <f t="shared" si="2"/>
        <v>71.27</v>
      </c>
      <c r="J7">
        <v>30</v>
      </c>
      <c r="K7">
        <v>2</v>
      </c>
      <c r="M7">
        <f>25/133</f>
        <v>0.18796992481203006</v>
      </c>
      <c r="N7">
        <f>19/91</f>
        <v>0.2087912087912088</v>
      </c>
      <c r="O7">
        <f>13239.15*2</f>
        <v>26478.3</v>
      </c>
      <c r="P7">
        <f>3*9757.38000000001</f>
        <v>29272.140000000029</v>
      </c>
    </row>
    <row r="8" spans="1:16" x14ac:dyDescent="0.35">
      <c r="A8">
        <v>84.78</v>
      </c>
      <c r="B8">
        <v>95.65</v>
      </c>
      <c r="C8">
        <v>81.81</v>
      </c>
      <c r="D8">
        <v>32</v>
      </c>
      <c r="E8">
        <v>100</v>
      </c>
      <c r="F8">
        <f t="shared" si="0"/>
        <v>78.847999999999999</v>
      </c>
      <c r="G8">
        <v>7</v>
      </c>
      <c r="H8">
        <f>SUM(A8:B8)/2</f>
        <v>90.215000000000003</v>
      </c>
      <c r="I8">
        <f t="shared" si="2"/>
        <v>71.27</v>
      </c>
      <c r="J8">
        <v>35</v>
      </c>
      <c r="K8">
        <v>3</v>
      </c>
      <c r="M8">
        <f>19/133</f>
        <v>0.14285714285714285</v>
      </c>
      <c r="N8">
        <f>13/91</f>
        <v>0.14285714285714285</v>
      </c>
      <c r="O8">
        <f>14305.89*2</f>
        <v>28611.78</v>
      </c>
      <c r="P8">
        <f>3*10311.72</f>
        <v>30935.159999999996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</dc:creator>
  <cp:lastModifiedBy>LUCA CARMINATI</cp:lastModifiedBy>
  <dcterms:created xsi:type="dcterms:W3CDTF">2015-06-05T18:19:34Z</dcterms:created>
  <dcterms:modified xsi:type="dcterms:W3CDTF">2025-11-17T16:15:41Z</dcterms:modified>
</cp:coreProperties>
</file>